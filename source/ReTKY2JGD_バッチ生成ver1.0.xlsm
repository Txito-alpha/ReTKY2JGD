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igitalgojp-my.sharepoint.com/personal/takashi_saito410_maff_go_jp/Documents/ドキュメント/0000業務効率化Tips/★自作データ/31_QGIS/TKY2JGD/"/>
    </mc:Choice>
  </mc:AlternateContent>
  <xr:revisionPtr revIDLastSave="7504" documentId="8_{83AE35EC-11AD-454E-8378-30871020AAED}" xr6:coauthVersionLast="47" xr6:coauthVersionMax="47" xr10:uidLastSave="{7ED1387D-315D-47F1-A2B1-3F5D32111D36}"/>
  <bookViews>
    <workbookView xWindow="-108" yWindow="-108" windowWidth="23256" windowHeight="12576" xr2:uid="{06E67393-CF2B-4A92-83EE-52DE6DBB5EEE}"/>
  </bookViews>
  <sheets>
    <sheet name="入力" sheetId="1" r:id="rId1"/>
    <sheet name="フォルダ" sheetId="7" r:id="rId2"/>
    <sheet name="レイヤ" sheetId="2" state="hidden" r:id="rId3"/>
    <sheet name="一括JSON" sheetId="8" r:id="rId4"/>
    <sheet name="座標系" sheetId="3" r:id="rId5"/>
    <sheet name="更新履歴" sheetId="5" r:id="rId6"/>
    <sheet name="技術解説" sheetId="6" r:id="rId7"/>
    <sheet name="文字コード変換用" sheetId="4" state="hidden" r:id="rId8"/>
  </sheets>
  <functionGroups builtInGroupCount="19"/>
  <definedNames>
    <definedName name="EPSG">入力!$C$8</definedName>
    <definedName name="カスタム投影法">入力!#REF!</definedName>
    <definedName name="出力ファイル名">入力!$B$7</definedName>
    <definedName name="出力ファイル名Unicode">文字コード変換用!$D$1</definedName>
    <definedName name="変換元ファイル名">入力!$B$4</definedName>
    <definedName name="変換元ファイル名Unicode">文字コード変換用!$A$1</definedName>
    <definedName name="変換元フォルダ">入力!$B$2</definedName>
    <definedName name="変換元フォルダUnicode">文字コード変換用!$H$1</definedName>
    <definedName name="変換元形式">入力!$B$3</definedName>
    <definedName name="変換先フォルダ">入力!$B$5</definedName>
    <definedName name="変換先フォルダUnicode">文字コード変換用!$L$1</definedName>
    <definedName name="変換先形式">入力!$B$6</definedName>
    <definedName name="変換先親フォルダ">入力!$C$5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8" i="1" l="1"/>
  <c r="B7" i="1" l="1"/>
  <c r="D2" i="4" s="1"/>
  <c r="C2" i="1"/>
  <c r="C5" i="1" s="1"/>
  <c r="A65" i="4"/>
  <c r="B65" i="4" s="1"/>
  <c r="A64" i="4"/>
  <c r="B64" i="4" s="1"/>
  <c r="A63" i="4"/>
  <c r="B63" i="4" s="1"/>
  <c r="A62" i="4"/>
  <c r="B62" i="4" s="1"/>
  <c r="A61" i="4"/>
  <c r="B61" i="4" s="1"/>
  <c r="A60" i="4"/>
  <c r="B60" i="4" s="1"/>
  <c r="A59" i="4"/>
  <c r="B59" i="4" s="1"/>
  <c r="A58" i="4"/>
  <c r="B58" i="4" s="1"/>
  <c r="A57" i="4"/>
  <c r="B57" i="4" s="1"/>
  <c r="A56" i="4"/>
  <c r="B56" i="4" s="1"/>
  <c r="A55" i="4"/>
  <c r="B55" i="4" s="1"/>
  <c r="A54" i="4"/>
  <c r="B54" i="4" s="1"/>
  <c r="A53" i="4"/>
  <c r="B53" i="4" s="1"/>
  <c r="A52" i="4"/>
  <c r="B52" i="4" s="1"/>
  <c r="A51" i="4"/>
  <c r="B51" i="4" s="1"/>
  <c r="A50" i="4"/>
  <c r="B50" i="4" s="1"/>
  <c r="A49" i="4"/>
  <c r="B49" i="4" s="1"/>
  <c r="A48" i="4"/>
  <c r="B48" i="4" s="1"/>
  <c r="A47" i="4"/>
  <c r="B47" i="4" s="1"/>
  <c r="A46" i="4"/>
  <c r="B46" i="4" s="1"/>
  <c r="A45" i="4"/>
  <c r="B45" i="4" s="1"/>
  <c r="A44" i="4"/>
  <c r="B44" i="4" s="1"/>
  <c r="A43" i="4"/>
  <c r="B43" i="4" s="1"/>
  <c r="A42" i="4"/>
  <c r="B42" i="4" s="1"/>
  <c r="A41" i="4"/>
  <c r="B41" i="4" s="1"/>
  <c r="A40" i="4"/>
  <c r="B40" i="4" s="1"/>
  <c r="A39" i="4"/>
  <c r="B39" i="4" s="1"/>
  <c r="A38" i="4"/>
  <c r="B38" i="4" s="1"/>
  <c r="A37" i="4"/>
  <c r="B37" i="4" s="1"/>
  <c r="A36" i="4"/>
  <c r="B36" i="4" s="1"/>
  <c r="A35" i="4"/>
  <c r="B35" i="4" s="1"/>
  <c r="A34" i="4"/>
  <c r="B34" i="4" s="1"/>
  <c r="A33" i="4"/>
  <c r="B33" i="4" s="1"/>
  <c r="A32" i="4"/>
  <c r="B32" i="4" s="1"/>
  <c r="A31" i="4"/>
  <c r="B31" i="4" s="1"/>
  <c r="A30" i="4"/>
  <c r="B30" i="4" s="1"/>
  <c r="A29" i="4"/>
  <c r="B29" i="4" s="1"/>
  <c r="A28" i="4"/>
  <c r="B28" i="4" s="1"/>
  <c r="A27" i="4"/>
  <c r="B27" i="4" s="1"/>
  <c r="A26" i="4"/>
  <c r="B26" i="4" s="1"/>
  <c r="A25" i="4"/>
  <c r="B25" i="4" s="1"/>
  <c r="A24" i="4"/>
  <c r="B24" i="4" s="1"/>
  <c r="A23" i="4"/>
  <c r="B23" i="4" s="1"/>
  <c r="A22" i="4"/>
  <c r="B22" i="4" s="1"/>
  <c r="A21" i="4"/>
  <c r="B21" i="4" s="1"/>
  <c r="A20" i="4"/>
  <c r="B20" i="4" s="1"/>
  <c r="A19" i="4"/>
  <c r="B19" i="4" s="1"/>
  <c r="A18" i="4"/>
  <c r="B18" i="4" s="1"/>
  <c r="A17" i="4"/>
  <c r="B17" i="4" s="1"/>
  <c r="A16" i="4"/>
  <c r="B16" i="4" s="1"/>
  <c r="A15" i="4"/>
  <c r="B15" i="4" s="1"/>
  <c r="A14" i="4"/>
  <c r="B14" i="4" s="1"/>
  <c r="A13" i="4"/>
  <c r="B13" i="4" s="1"/>
  <c r="A12" i="4"/>
  <c r="B12" i="4" s="1"/>
  <c r="A11" i="4"/>
  <c r="B11" i="4" s="1"/>
  <c r="A10" i="4"/>
  <c r="B10" i="4" s="1"/>
  <c r="A9" i="4"/>
  <c r="B9" i="4" s="1"/>
  <c r="A8" i="4"/>
  <c r="B8" i="4" s="1"/>
  <c r="A7" i="4"/>
  <c r="B7" i="4" s="1"/>
  <c r="A6" i="4"/>
  <c r="B6" i="4" s="1"/>
  <c r="A5" i="4"/>
  <c r="B5" i="4" s="1"/>
  <c r="A4" i="4"/>
  <c r="B4" i="4" s="1"/>
  <c r="A3" i="4"/>
  <c r="B3" i="4" s="1"/>
  <c r="A2" i="4"/>
  <c r="B2" i="4" s="1"/>
  <c r="B5" i="1" l="1"/>
  <c r="D9" i="4"/>
  <c r="E9" i="4" s="1"/>
  <c r="D8" i="4"/>
  <c r="E8" i="4" s="1"/>
  <c r="D7" i="4"/>
  <c r="E7" i="4" s="1"/>
  <c r="D6" i="4"/>
  <c r="E6" i="4" s="1"/>
  <c r="D5" i="4"/>
  <c r="E5" i="4" s="1"/>
  <c r="D4" i="4"/>
  <c r="E4" i="4" s="1"/>
  <c r="D3" i="4"/>
  <c r="E3" i="4" s="1"/>
  <c r="D57" i="4"/>
  <c r="E57" i="4" s="1"/>
  <c r="D49" i="4"/>
  <c r="E49" i="4" s="1"/>
  <c r="D41" i="4"/>
  <c r="E41" i="4" s="1"/>
  <c r="D33" i="4"/>
  <c r="E33" i="4" s="1"/>
  <c r="D25" i="4"/>
  <c r="E25" i="4" s="1"/>
  <c r="D17" i="4"/>
  <c r="E17" i="4" s="1"/>
  <c r="D64" i="4"/>
  <c r="E64" i="4" s="1"/>
  <c r="D56" i="4"/>
  <c r="E56" i="4" s="1"/>
  <c r="D48" i="4"/>
  <c r="E48" i="4" s="1"/>
  <c r="D40" i="4"/>
  <c r="E40" i="4" s="1"/>
  <c r="D32" i="4"/>
  <c r="E32" i="4" s="1"/>
  <c r="D24" i="4"/>
  <c r="E24" i="4" s="1"/>
  <c r="D16" i="4"/>
  <c r="E16" i="4" s="1"/>
  <c r="D63" i="4"/>
  <c r="E63" i="4" s="1"/>
  <c r="D55" i="4"/>
  <c r="E55" i="4" s="1"/>
  <c r="D47" i="4"/>
  <c r="E47" i="4" s="1"/>
  <c r="D39" i="4"/>
  <c r="E39" i="4" s="1"/>
  <c r="D31" i="4"/>
  <c r="E31" i="4" s="1"/>
  <c r="D23" i="4"/>
  <c r="E23" i="4" s="1"/>
  <c r="D15" i="4"/>
  <c r="E15" i="4" s="1"/>
  <c r="D54" i="4"/>
  <c r="E54" i="4" s="1"/>
  <c r="D46" i="4"/>
  <c r="E46" i="4" s="1"/>
  <c r="D38" i="4"/>
  <c r="E38" i="4" s="1"/>
  <c r="D30" i="4"/>
  <c r="E30" i="4" s="1"/>
  <c r="D22" i="4"/>
  <c r="E22" i="4" s="1"/>
  <c r="D14" i="4"/>
  <c r="E14" i="4" s="1"/>
  <c r="D58" i="4"/>
  <c r="E58" i="4" s="1"/>
  <c r="D50" i="4"/>
  <c r="E50" i="4" s="1"/>
  <c r="D42" i="4"/>
  <c r="E42" i="4" s="1"/>
  <c r="D34" i="4"/>
  <c r="E34" i="4" s="1"/>
  <c r="D26" i="4"/>
  <c r="E26" i="4" s="1"/>
  <c r="D18" i="4"/>
  <c r="E18" i="4" s="1"/>
  <c r="D10" i="4"/>
  <c r="E10" i="4" s="1"/>
  <c r="D62" i="4"/>
  <c r="E62" i="4" s="1"/>
  <c r="D61" i="4"/>
  <c r="E61" i="4" s="1"/>
  <c r="D53" i="4"/>
  <c r="E53" i="4" s="1"/>
  <c r="D45" i="4"/>
  <c r="E45" i="4" s="1"/>
  <c r="D37" i="4"/>
  <c r="E37" i="4" s="1"/>
  <c r="D29" i="4"/>
  <c r="E29" i="4" s="1"/>
  <c r="D21" i="4"/>
  <c r="E21" i="4" s="1"/>
  <c r="D13" i="4"/>
  <c r="E13" i="4" s="1"/>
  <c r="D60" i="4"/>
  <c r="E60" i="4" s="1"/>
  <c r="D52" i="4"/>
  <c r="E52" i="4" s="1"/>
  <c r="D44" i="4"/>
  <c r="E44" i="4" s="1"/>
  <c r="D36" i="4"/>
  <c r="E36" i="4" s="1"/>
  <c r="D28" i="4"/>
  <c r="E28" i="4" s="1"/>
  <c r="D20" i="4"/>
  <c r="E20" i="4" s="1"/>
  <c r="D12" i="4"/>
  <c r="E12" i="4" s="1"/>
  <c r="D59" i="4"/>
  <c r="E59" i="4" s="1"/>
  <c r="D51" i="4"/>
  <c r="E51" i="4" s="1"/>
  <c r="D43" i="4"/>
  <c r="E43" i="4" s="1"/>
  <c r="D35" i="4"/>
  <c r="E35" i="4" s="1"/>
  <c r="D27" i="4"/>
  <c r="E27" i="4" s="1"/>
  <c r="D19" i="4"/>
  <c r="E19" i="4" s="1"/>
  <c r="D11" i="4"/>
  <c r="E11" i="4" s="1"/>
  <c r="A1" i="4"/>
  <c r="H256" i="4"/>
  <c r="H255" i="4"/>
  <c r="H254" i="4"/>
  <c r="H253" i="4"/>
  <c r="H252" i="4"/>
  <c r="H251" i="4"/>
  <c r="H250" i="4"/>
  <c r="H249" i="4"/>
  <c r="H248" i="4"/>
  <c r="H247" i="4"/>
  <c r="H246" i="4"/>
  <c r="H245" i="4"/>
  <c r="H244" i="4"/>
  <c r="H243" i="4"/>
  <c r="H242" i="4"/>
  <c r="H241" i="4"/>
  <c r="H240" i="4"/>
  <c r="H239" i="4"/>
  <c r="H238" i="4"/>
  <c r="H237" i="4"/>
  <c r="H236" i="4"/>
  <c r="H235" i="4"/>
  <c r="H234" i="4"/>
  <c r="H233" i="4"/>
  <c r="H232" i="4"/>
  <c r="H231" i="4"/>
  <c r="H230" i="4"/>
  <c r="H229" i="4"/>
  <c r="H228" i="4"/>
  <c r="H227" i="4"/>
  <c r="H226" i="4"/>
  <c r="H225" i="4"/>
  <c r="H224" i="4"/>
  <c r="H223" i="4"/>
  <c r="H222" i="4"/>
  <c r="H221" i="4"/>
  <c r="H220" i="4"/>
  <c r="H219" i="4"/>
  <c r="H218" i="4"/>
  <c r="H217" i="4"/>
  <c r="H216" i="4"/>
  <c r="H215" i="4"/>
  <c r="H214" i="4"/>
  <c r="H213" i="4"/>
  <c r="H212" i="4"/>
  <c r="H211" i="4"/>
  <c r="H210" i="4"/>
  <c r="H209" i="4"/>
  <c r="H208" i="4"/>
  <c r="H207" i="4"/>
  <c r="H206" i="4"/>
  <c r="H205" i="4"/>
  <c r="H204" i="4"/>
  <c r="H203" i="4"/>
  <c r="H202" i="4"/>
  <c r="H201" i="4"/>
  <c r="H200" i="4"/>
  <c r="H199" i="4"/>
  <c r="H198" i="4"/>
  <c r="H197" i="4"/>
  <c r="H196" i="4"/>
  <c r="H195" i="4"/>
  <c r="H194" i="4"/>
  <c r="H193" i="4"/>
  <c r="H192" i="4"/>
  <c r="H191" i="4"/>
  <c r="H190" i="4"/>
  <c r="H189" i="4"/>
  <c r="H188" i="4"/>
  <c r="H187" i="4"/>
  <c r="H186" i="4"/>
  <c r="H185" i="4"/>
  <c r="H184" i="4"/>
  <c r="H183" i="4"/>
  <c r="H182" i="4"/>
  <c r="H181" i="4"/>
  <c r="H180" i="4"/>
  <c r="H179" i="4"/>
  <c r="H178" i="4"/>
  <c r="H177" i="4"/>
  <c r="H176" i="4"/>
  <c r="H175" i="4"/>
  <c r="H174" i="4"/>
  <c r="H173" i="4"/>
  <c r="H172" i="4"/>
  <c r="H171" i="4"/>
  <c r="H170" i="4"/>
  <c r="H169" i="4"/>
  <c r="H168" i="4"/>
  <c r="H167" i="4"/>
  <c r="H166" i="4"/>
  <c r="H165" i="4"/>
  <c r="H164" i="4"/>
  <c r="H163" i="4"/>
  <c r="H162" i="4"/>
  <c r="H161" i="4"/>
  <c r="H160" i="4"/>
  <c r="H159" i="4"/>
  <c r="H158" i="4"/>
  <c r="H157" i="4"/>
  <c r="H156" i="4"/>
  <c r="H155" i="4"/>
  <c r="H154" i="4"/>
  <c r="H153" i="4"/>
  <c r="H152" i="4"/>
  <c r="H151" i="4"/>
  <c r="H150" i="4"/>
  <c r="H149" i="4"/>
  <c r="H148" i="4"/>
  <c r="H147" i="4"/>
  <c r="H146" i="4"/>
  <c r="H145" i="4"/>
  <c r="H144" i="4"/>
  <c r="H143" i="4"/>
  <c r="H142" i="4"/>
  <c r="H141" i="4"/>
  <c r="H140" i="4"/>
  <c r="H139" i="4"/>
  <c r="H138" i="4"/>
  <c r="H137" i="4"/>
  <c r="H136" i="4"/>
  <c r="H135" i="4"/>
  <c r="H134" i="4"/>
  <c r="H133" i="4"/>
  <c r="H132" i="4"/>
  <c r="H131" i="4"/>
  <c r="H130" i="4"/>
  <c r="H129" i="4"/>
  <c r="H128" i="4"/>
  <c r="H127" i="4"/>
  <c r="H126" i="4"/>
  <c r="H125" i="4"/>
  <c r="H124" i="4"/>
  <c r="H123" i="4"/>
  <c r="H122" i="4"/>
  <c r="H121" i="4"/>
  <c r="H120" i="4"/>
  <c r="H119" i="4"/>
  <c r="H118" i="4"/>
  <c r="H117" i="4"/>
  <c r="H116" i="4"/>
  <c r="H115" i="4"/>
  <c r="H114" i="4"/>
  <c r="H113" i="4"/>
  <c r="H112" i="4"/>
  <c r="H111" i="4"/>
  <c r="H110" i="4"/>
  <c r="H109" i="4"/>
  <c r="H108" i="4"/>
  <c r="H107" i="4"/>
  <c r="H106" i="4"/>
  <c r="H105" i="4"/>
  <c r="H104" i="4"/>
  <c r="H103" i="4"/>
  <c r="H102" i="4"/>
  <c r="H101" i="4"/>
  <c r="H100" i="4"/>
  <c r="H99" i="4"/>
  <c r="H98" i="4"/>
  <c r="H97" i="4"/>
  <c r="H96" i="4"/>
  <c r="H95" i="4"/>
  <c r="H94" i="4"/>
  <c r="H93" i="4"/>
  <c r="H92" i="4"/>
  <c r="H91" i="4"/>
  <c r="H90" i="4"/>
  <c r="H89" i="4"/>
  <c r="H88" i="4"/>
  <c r="H87" i="4"/>
  <c r="H86" i="4"/>
  <c r="H85" i="4"/>
  <c r="H84" i="4"/>
  <c r="H83" i="4"/>
  <c r="H82" i="4"/>
  <c r="H81" i="4"/>
  <c r="H80" i="4"/>
  <c r="H79" i="4"/>
  <c r="H78" i="4"/>
  <c r="H77" i="4"/>
  <c r="H76" i="4"/>
  <c r="H75" i="4"/>
  <c r="H74" i="4"/>
  <c r="H73" i="4"/>
  <c r="H72" i="4"/>
  <c r="H71" i="4"/>
  <c r="H70" i="4"/>
  <c r="H69" i="4"/>
  <c r="H68" i="4"/>
  <c r="H67" i="4"/>
  <c r="H66" i="4"/>
  <c r="H65" i="4"/>
  <c r="H64" i="4"/>
  <c r="H63" i="4"/>
  <c r="H62" i="4"/>
  <c r="H61" i="4"/>
  <c r="H60" i="4"/>
  <c r="H59" i="4"/>
  <c r="H58" i="4"/>
  <c r="H57" i="4"/>
  <c r="H56" i="4"/>
  <c r="H55" i="4"/>
  <c r="H54" i="4"/>
  <c r="H53" i="4"/>
  <c r="H52" i="4"/>
  <c r="H51" i="4"/>
  <c r="H50" i="4"/>
  <c r="H49" i="4"/>
  <c r="H48" i="4"/>
  <c r="H47" i="4"/>
  <c r="H46" i="4"/>
  <c r="H45" i="4"/>
  <c r="H44" i="4"/>
  <c r="H43" i="4"/>
  <c r="H42" i="4"/>
  <c r="H41" i="4"/>
  <c r="H40" i="4"/>
  <c r="H39" i="4"/>
  <c r="H38" i="4"/>
  <c r="H37" i="4"/>
  <c r="H36" i="4"/>
  <c r="H35" i="4"/>
  <c r="H34" i="4"/>
  <c r="H33" i="4"/>
  <c r="H32" i="4"/>
  <c r="H31" i="4"/>
  <c r="H30" i="4"/>
  <c r="H29" i="4"/>
  <c r="H28" i="4"/>
  <c r="H27" i="4"/>
  <c r="H26" i="4"/>
  <c r="H25" i="4"/>
  <c r="H24" i="4"/>
  <c r="H23" i="4"/>
  <c r="H22" i="4"/>
  <c r="H21" i="4"/>
  <c r="H20" i="4"/>
  <c r="H19" i="4"/>
  <c r="H18" i="4"/>
  <c r="H17" i="4"/>
  <c r="H16" i="4"/>
  <c r="H15" i="4"/>
  <c r="H14" i="4"/>
  <c r="H13" i="4"/>
  <c r="H12" i="4"/>
  <c r="H11" i="4"/>
  <c r="H10" i="4"/>
  <c r="H9" i="4"/>
  <c r="H8" i="4"/>
  <c r="H7" i="4"/>
  <c r="H6" i="4"/>
  <c r="H5" i="4"/>
  <c r="H4" i="4"/>
  <c r="H3" i="4"/>
  <c r="H2" i="4"/>
  <c r="D65" i="4"/>
  <c r="E65" i="4" s="1"/>
  <c r="E2" i="4"/>
  <c r="C10" i="2"/>
  <c r="C8" i="2"/>
  <c r="C7" i="2"/>
  <c r="C6" i="2"/>
  <c r="C5" i="2"/>
  <c r="C4" i="2"/>
  <c r="C3" i="2"/>
  <c r="C2" i="2"/>
  <c r="C9" i="2"/>
  <c r="I41" i="4" l="1"/>
  <c r="I13" i="4"/>
  <c r="I37" i="4"/>
  <c r="I69" i="4"/>
  <c r="I93" i="4"/>
  <c r="I117" i="4"/>
  <c r="I149" i="4"/>
  <c r="I173" i="4"/>
  <c r="I213" i="4"/>
  <c r="L256" i="4"/>
  <c r="M256" i="4" s="1"/>
  <c r="L248" i="4"/>
  <c r="M248" i="4" s="1"/>
  <c r="L240" i="4"/>
  <c r="M240" i="4" s="1"/>
  <c r="L232" i="4"/>
  <c r="M232" i="4" s="1"/>
  <c r="L224" i="4"/>
  <c r="M224" i="4" s="1"/>
  <c r="L216" i="4"/>
  <c r="M216" i="4" s="1"/>
  <c r="L208" i="4"/>
  <c r="M208" i="4" s="1"/>
  <c r="L200" i="4"/>
  <c r="M200" i="4" s="1"/>
  <c r="L192" i="4"/>
  <c r="M192" i="4" s="1"/>
  <c r="L184" i="4"/>
  <c r="M184" i="4" s="1"/>
  <c r="L176" i="4"/>
  <c r="M176" i="4" s="1"/>
  <c r="L168" i="4"/>
  <c r="M168" i="4" s="1"/>
  <c r="L160" i="4"/>
  <c r="M160" i="4" s="1"/>
  <c r="L152" i="4"/>
  <c r="M152" i="4" s="1"/>
  <c r="L144" i="4"/>
  <c r="M144" i="4" s="1"/>
  <c r="L136" i="4"/>
  <c r="M136" i="4" s="1"/>
  <c r="L128" i="4"/>
  <c r="M128" i="4" s="1"/>
  <c r="L120" i="4"/>
  <c r="M120" i="4" s="1"/>
  <c r="L112" i="4"/>
  <c r="M112" i="4" s="1"/>
  <c r="L104" i="4"/>
  <c r="M104" i="4" s="1"/>
  <c r="L96" i="4"/>
  <c r="M96" i="4" s="1"/>
  <c r="L88" i="4"/>
  <c r="M88" i="4" s="1"/>
  <c r="L80" i="4"/>
  <c r="M80" i="4" s="1"/>
  <c r="L72" i="4"/>
  <c r="M72" i="4" s="1"/>
  <c r="L64" i="4"/>
  <c r="M64" i="4" s="1"/>
  <c r="L56" i="4"/>
  <c r="M56" i="4" s="1"/>
  <c r="L48" i="4"/>
  <c r="M48" i="4" s="1"/>
  <c r="L40" i="4"/>
  <c r="M40" i="4" s="1"/>
  <c r="L32" i="4"/>
  <c r="M32" i="4" s="1"/>
  <c r="L24" i="4"/>
  <c r="M24" i="4" s="1"/>
  <c r="L16" i="4"/>
  <c r="M16" i="4" s="1"/>
  <c r="L8" i="4"/>
  <c r="M8" i="4" s="1"/>
  <c r="L247" i="4"/>
  <c r="M247" i="4" s="1"/>
  <c r="L255" i="4"/>
  <c r="M255" i="4" s="1"/>
  <c r="L254" i="4"/>
  <c r="M254" i="4" s="1"/>
  <c r="L246" i="4"/>
  <c r="M246" i="4" s="1"/>
  <c r="L238" i="4"/>
  <c r="M238" i="4" s="1"/>
  <c r="L230" i="4"/>
  <c r="M230" i="4" s="1"/>
  <c r="L222" i="4"/>
  <c r="M222" i="4" s="1"/>
  <c r="L214" i="4"/>
  <c r="M214" i="4" s="1"/>
  <c r="L206" i="4"/>
  <c r="M206" i="4" s="1"/>
  <c r="L198" i="4"/>
  <c r="M198" i="4" s="1"/>
  <c r="L190" i="4"/>
  <c r="M190" i="4" s="1"/>
  <c r="L182" i="4"/>
  <c r="M182" i="4" s="1"/>
  <c r="L174" i="4"/>
  <c r="M174" i="4" s="1"/>
  <c r="L166" i="4"/>
  <c r="M166" i="4" s="1"/>
  <c r="L158" i="4"/>
  <c r="M158" i="4" s="1"/>
  <c r="L150" i="4"/>
  <c r="M150" i="4" s="1"/>
  <c r="L142" i="4"/>
  <c r="M142" i="4" s="1"/>
  <c r="L134" i="4"/>
  <c r="M134" i="4" s="1"/>
  <c r="L126" i="4"/>
  <c r="M126" i="4" s="1"/>
  <c r="L118" i="4"/>
  <c r="M118" i="4" s="1"/>
  <c r="L110" i="4"/>
  <c r="M110" i="4" s="1"/>
  <c r="L102" i="4"/>
  <c r="M102" i="4" s="1"/>
  <c r="L94" i="4"/>
  <c r="M94" i="4" s="1"/>
  <c r="L86" i="4"/>
  <c r="M86" i="4" s="1"/>
  <c r="L78" i="4"/>
  <c r="M78" i="4" s="1"/>
  <c r="L70" i="4"/>
  <c r="M70" i="4" s="1"/>
  <c r="L62" i="4"/>
  <c r="M62" i="4" s="1"/>
  <c r="L54" i="4"/>
  <c r="M54" i="4" s="1"/>
  <c r="L46" i="4"/>
  <c r="M46" i="4" s="1"/>
  <c r="L38" i="4"/>
  <c r="M38" i="4" s="1"/>
  <c r="L30" i="4"/>
  <c r="M30" i="4" s="1"/>
  <c r="L22" i="4"/>
  <c r="M22" i="4" s="1"/>
  <c r="L14" i="4"/>
  <c r="M14" i="4" s="1"/>
  <c r="L6" i="4"/>
  <c r="M6" i="4" s="1"/>
  <c r="L252" i="4"/>
  <c r="M252" i="4" s="1"/>
  <c r="L236" i="4"/>
  <c r="M236" i="4" s="1"/>
  <c r="L228" i="4"/>
  <c r="M228" i="4" s="1"/>
  <c r="L220" i="4"/>
  <c r="M220" i="4" s="1"/>
  <c r="L212" i="4"/>
  <c r="M212" i="4" s="1"/>
  <c r="L204" i="4"/>
  <c r="M204" i="4" s="1"/>
  <c r="L196" i="4"/>
  <c r="M196" i="4" s="1"/>
  <c r="L188" i="4"/>
  <c r="M188" i="4" s="1"/>
  <c r="L180" i="4"/>
  <c r="M180" i="4" s="1"/>
  <c r="L172" i="4"/>
  <c r="M172" i="4" s="1"/>
  <c r="L164" i="4"/>
  <c r="M164" i="4" s="1"/>
  <c r="L156" i="4"/>
  <c r="M156" i="4" s="1"/>
  <c r="L148" i="4"/>
  <c r="M148" i="4" s="1"/>
  <c r="L140" i="4"/>
  <c r="M140" i="4" s="1"/>
  <c r="L132" i="4"/>
  <c r="M132" i="4" s="1"/>
  <c r="L124" i="4"/>
  <c r="M124" i="4" s="1"/>
  <c r="L116" i="4"/>
  <c r="M116" i="4" s="1"/>
  <c r="L108" i="4"/>
  <c r="M108" i="4" s="1"/>
  <c r="L100" i="4"/>
  <c r="M100" i="4" s="1"/>
  <c r="L92" i="4"/>
  <c r="M92" i="4" s="1"/>
  <c r="L253" i="4"/>
  <c r="M253" i="4" s="1"/>
  <c r="L245" i="4"/>
  <c r="M245" i="4" s="1"/>
  <c r="L237" i="4"/>
  <c r="M237" i="4" s="1"/>
  <c r="L229" i="4"/>
  <c r="M229" i="4" s="1"/>
  <c r="L221" i="4"/>
  <c r="M221" i="4" s="1"/>
  <c r="L213" i="4"/>
  <c r="M213" i="4" s="1"/>
  <c r="L205" i="4"/>
  <c r="M205" i="4" s="1"/>
  <c r="L197" i="4"/>
  <c r="M197" i="4" s="1"/>
  <c r="L189" i="4"/>
  <c r="M189" i="4" s="1"/>
  <c r="L181" i="4"/>
  <c r="M181" i="4" s="1"/>
  <c r="L173" i="4"/>
  <c r="M173" i="4" s="1"/>
  <c r="L165" i="4"/>
  <c r="M165" i="4" s="1"/>
  <c r="L157" i="4"/>
  <c r="M157" i="4" s="1"/>
  <c r="L149" i="4"/>
  <c r="M149" i="4" s="1"/>
  <c r="L141" i="4"/>
  <c r="M141" i="4" s="1"/>
  <c r="L133" i="4"/>
  <c r="M133" i="4" s="1"/>
  <c r="L125" i="4"/>
  <c r="M125" i="4" s="1"/>
  <c r="L117" i="4"/>
  <c r="M117" i="4" s="1"/>
  <c r="L109" i="4"/>
  <c r="M109" i="4" s="1"/>
  <c r="L101" i="4"/>
  <c r="M101" i="4" s="1"/>
  <c r="L93" i="4"/>
  <c r="M93" i="4" s="1"/>
  <c r="L85" i="4"/>
  <c r="M85" i="4" s="1"/>
  <c r="L77" i="4"/>
  <c r="M77" i="4" s="1"/>
  <c r="L69" i="4"/>
  <c r="M69" i="4" s="1"/>
  <c r="L61" i="4"/>
  <c r="M61" i="4" s="1"/>
  <c r="L53" i="4"/>
  <c r="M53" i="4" s="1"/>
  <c r="L45" i="4"/>
  <c r="M45" i="4" s="1"/>
  <c r="L37" i="4"/>
  <c r="M37" i="4" s="1"/>
  <c r="L29" i="4"/>
  <c r="M29" i="4" s="1"/>
  <c r="L21" i="4"/>
  <c r="M21" i="4" s="1"/>
  <c r="L13" i="4"/>
  <c r="M13" i="4" s="1"/>
  <c r="L5" i="4"/>
  <c r="M5" i="4" s="1"/>
  <c r="L244" i="4"/>
  <c r="M244" i="4" s="1"/>
  <c r="L251" i="4"/>
  <c r="M251" i="4" s="1"/>
  <c r="L243" i="4"/>
  <c r="M243" i="4" s="1"/>
  <c r="L235" i="4"/>
  <c r="M235" i="4" s="1"/>
  <c r="L227" i="4"/>
  <c r="M227" i="4" s="1"/>
  <c r="L219" i="4"/>
  <c r="M219" i="4" s="1"/>
  <c r="L211" i="4"/>
  <c r="M211" i="4" s="1"/>
  <c r="L203" i="4"/>
  <c r="M203" i="4" s="1"/>
  <c r="L195" i="4"/>
  <c r="M195" i="4" s="1"/>
  <c r="L187" i="4"/>
  <c r="M187" i="4" s="1"/>
  <c r="L179" i="4"/>
  <c r="M179" i="4" s="1"/>
  <c r="L171" i="4"/>
  <c r="M171" i="4" s="1"/>
  <c r="L163" i="4"/>
  <c r="M163" i="4" s="1"/>
  <c r="L155" i="4"/>
  <c r="M155" i="4" s="1"/>
  <c r="L147" i="4"/>
  <c r="M147" i="4" s="1"/>
  <c r="L139" i="4"/>
  <c r="M139" i="4" s="1"/>
  <c r="L131" i="4"/>
  <c r="M131" i="4" s="1"/>
  <c r="L123" i="4"/>
  <c r="M123" i="4" s="1"/>
  <c r="L115" i="4"/>
  <c r="M115" i="4" s="1"/>
  <c r="L107" i="4"/>
  <c r="M107" i="4" s="1"/>
  <c r="L99" i="4"/>
  <c r="M99" i="4" s="1"/>
  <c r="L91" i="4"/>
  <c r="M91" i="4" s="1"/>
  <c r="L83" i="4"/>
  <c r="M83" i="4" s="1"/>
  <c r="L75" i="4"/>
  <c r="M75" i="4" s="1"/>
  <c r="L67" i="4"/>
  <c r="M67" i="4" s="1"/>
  <c r="L59" i="4"/>
  <c r="M59" i="4" s="1"/>
  <c r="L51" i="4"/>
  <c r="M51" i="4" s="1"/>
  <c r="L43" i="4"/>
  <c r="M43" i="4" s="1"/>
  <c r="L35" i="4"/>
  <c r="M35" i="4" s="1"/>
  <c r="L27" i="4"/>
  <c r="M27" i="4" s="1"/>
  <c r="L19" i="4"/>
  <c r="M19" i="4" s="1"/>
  <c r="L11" i="4"/>
  <c r="M11" i="4" s="1"/>
  <c r="L3" i="4"/>
  <c r="M3" i="4" s="1"/>
  <c r="L249" i="4"/>
  <c r="M249" i="4" s="1"/>
  <c r="L241" i="4"/>
  <c r="M241" i="4" s="1"/>
  <c r="L233" i="4"/>
  <c r="M233" i="4" s="1"/>
  <c r="L225" i="4"/>
  <c r="M225" i="4" s="1"/>
  <c r="L217" i="4"/>
  <c r="M217" i="4" s="1"/>
  <c r="L209" i="4"/>
  <c r="M209" i="4" s="1"/>
  <c r="L201" i="4"/>
  <c r="M201" i="4" s="1"/>
  <c r="L193" i="4"/>
  <c r="M193" i="4" s="1"/>
  <c r="L177" i="4"/>
  <c r="M177" i="4" s="1"/>
  <c r="L169" i="4"/>
  <c r="M169" i="4" s="1"/>
  <c r="L161" i="4"/>
  <c r="M161" i="4" s="1"/>
  <c r="L153" i="4"/>
  <c r="M153" i="4" s="1"/>
  <c r="L145" i="4"/>
  <c r="M145" i="4" s="1"/>
  <c r="L137" i="4"/>
  <c r="M137" i="4" s="1"/>
  <c r="L129" i="4"/>
  <c r="M129" i="4" s="1"/>
  <c r="L121" i="4"/>
  <c r="M121" i="4" s="1"/>
  <c r="L105" i="4"/>
  <c r="M105" i="4" s="1"/>
  <c r="L97" i="4"/>
  <c r="M97" i="4" s="1"/>
  <c r="L81" i="4"/>
  <c r="M81" i="4" s="1"/>
  <c r="L65" i="4"/>
  <c r="M65" i="4" s="1"/>
  <c r="L250" i="4"/>
  <c r="M250" i="4" s="1"/>
  <c r="L242" i="4"/>
  <c r="M242" i="4" s="1"/>
  <c r="L234" i="4"/>
  <c r="M234" i="4" s="1"/>
  <c r="L226" i="4"/>
  <c r="M226" i="4" s="1"/>
  <c r="L218" i="4"/>
  <c r="M218" i="4" s="1"/>
  <c r="L210" i="4"/>
  <c r="M210" i="4" s="1"/>
  <c r="L202" i="4"/>
  <c r="M202" i="4" s="1"/>
  <c r="L194" i="4"/>
  <c r="M194" i="4" s="1"/>
  <c r="L186" i="4"/>
  <c r="M186" i="4" s="1"/>
  <c r="L178" i="4"/>
  <c r="M178" i="4" s="1"/>
  <c r="L170" i="4"/>
  <c r="M170" i="4" s="1"/>
  <c r="L162" i="4"/>
  <c r="M162" i="4" s="1"/>
  <c r="L154" i="4"/>
  <c r="M154" i="4" s="1"/>
  <c r="L146" i="4"/>
  <c r="M146" i="4" s="1"/>
  <c r="L138" i="4"/>
  <c r="M138" i="4" s="1"/>
  <c r="L130" i="4"/>
  <c r="M130" i="4" s="1"/>
  <c r="L122" i="4"/>
  <c r="M122" i="4" s="1"/>
  <c r="L114" i="4"/>
  <c r="M114" i="4" s="1"/>
  <c r="L106" i="4"/>
  <c r="M106" i="4" s="1"/>
  <c r="L98" i="4"/>
  <c r="M98" i="4" s="1"/>
  <c r="L90" i="4"/>
  <c r="M90" i="4" s="1"/>
  <c r="L82" i="4"/>
  <c r="M82" i="4" s="1"/>
  <c r="L74" i="4"/>
  <c r="M74" i="4" s="1"/>
  <c r="L66" i="4"/>
  <c r="M66" i="4" s="1"/>
  <c r="L58" i="4"/>
  <c r="M58" i="4" s="1"/>
  <c r="L50" i="4"/>
  <c r="M50" i="4" s="1"/>
  <c r="L42" i="4"/>
  <c r="M42" i="4" s="1"/>
  <c r="L34" i="4"/>
  <c r="M34" i="4" s="1"/>
  <c r="L26" i="4"/>
  <c r="M26" i="4" s="1"/>
  <c r="L18" i="4"/>
  <c r="M18" i="4" s="1"/>
  <c r="L10" i="4"/>
  <c r="M10" i="4" s="1"/>
  <c r="L2" i="4" a="1"/>
  <c r="L2" i="4" s="1"/>
  <c r="M2" i="4" s="1"/>
  <c r="L185" i="4"/>
  <c r="M185" i="4" s="1"/>
  <c r="L113" i="4"/>
  <c r="M113" i="4" s="1"/>
  <c r="L89" i="4"/>
  <c r="M89" i="4" s="1"/>
  <c r="L73" i="4"/>
  <c r="M73" i="4" s="1"/>
  <c r="L239" i="4"/>
  <c r="M239" i="4" s="1"/>
  <c r="L175" i="4"/>
  <c r="M175" i="4" s="1"/>
  <c r="L111" i="4"/>
  <c r="M111" i="4" s="1"/>
  <c r="L68" i="4"/>
  <c r="M68" i="4" s="1"/>
  <c r="L44" i="4"/>
  <c r="M44" i="4" s="1"/>
  <c r="L23" i="4"/>
  <c r="M23" i="4" s="1"/>
  <c r="L231" i="4"/>
  <c r="M231" i="4" s="1"/>
  <c r="L167" i="4"/>
  <c r="M167" i="4" s="1"/>
  <c r="L103" i="4"/>
  <c r="M103" i="4" s="1"/>
  <c r="L63" i="4"/>
  <c r="M63" i="4" s="1"/>
  <c r="L41" i="4"/>
  <c r="M41" i="4" s="1"/>
  <c r="L20" i="4"/>
  <c r="M20" i="4" s="1"/>
  <c r="L223" i="4"/>
  <c r="M223" i="4" s="1"/>
  <c r="L159" i="4"/>
  <c r="M159" i="4" s="1"/>
  <c r="L95" i="4"/>
  <c r="M95" i="4" s="1"/>
  <c r="L60" i="4"/>
  <c r="M60" i="4" s="1"/>
  <c r="L39" i="4"/>
  <c r="M39" i="4" s="1"/>
  <c r="L17" i="4"/>
  <c r="M17" i="4" s="1"/>
  <c r="L127" i="4"/>
  <c r="M127" i="4" s="1"/>
  <c r="L215" i="4"/>
  <c r="M215" i="4" s="1"/>
  <c r="L151" i="4"/>
  <c r="M151" i="4" s="1"/>
  <c r="L87" i="4"/>
  <c r="M87" i="4" s="1"/>
  <c r="L57" i="4"/>
  <c r="M57" i="4" s="1"/>
  <c r="L36" i="4"/>
  <c r="M36" i="4" s="1"/>
  <c r="L15" i="4"/>
  <c r="M15" i="4" s="1"/>
  <c r="L191" i="4"/>
  <c r="M191" i="4" s="1"/>
  <c r="L28" i="4"/>
  <c r="M28" i="4" s="1"/>
  <c r="L207" i="4"/>
  <c r="M207" i="4" s="1"/>
  <c r="L143" i="4"/>
  <c r="M143" i="4" s="1"/>
  <c r="L84" i="4"/>
  <c r="M84" i="4" s="1"/>
  <c r="L55" i="4"/>
  <c r="M55" i="4" s="1"/>
  <c r="L33" i="4"/>
  <c r="M33" i="4" s="1"/>
  <c r="L12" i="4"/>
  <c r="M12" i="4" s="1"/>
  <c r="L49" i="4"/>
  <c r="M49" i="4" s="1"/>
  <c r="L199" i="4"/>
  <c r="M199" i="4" s="1"/>
  <c r="L135" i="4"/>
  <c r="M135" i="4" s="1"/>
  <c r="L79" i="4"/>
  <c r="M79" i="4" s="1"/>
  <c r="L52" i="4"/>
  <c r="M52" i="4" s="1"/>
  <c r="L31" i="4"/>
  <c r="M31" i="4" s="1"/>
  <c r="L9" i="4"/>
  <c r="M9" i="4" s="1"/>
  <c r="L76" i="4"/>
  <c r="M76" i="4" s="1"/>
  <c r="L7" i="4"/>
  <c r="M7" i="4" s="1"/>
  <c r="L183" i="4"/>
  <c r="M183" i="4" s="1"/>
  <c r="L119" i="4"/>
  <c r="M119" i="4" s="1"/>
  <c r="L71" i="4"/>
  <c r="M71" i="4" s="1"/>
  <c r="L47" i="4"/>
  <c r="M47" i="4" s="1"/>
  <c r="L25" i="4"/>
  <c r="M25" i="4" s="1"/>
  <c r="L4" i="4"/>
  <c r="M4" i="4" s="1"/>
  <c r="I15" i="4"/>
  <c r="I31" i="4"/>
  <c r="I47" i="4"/>
  <c r="I63" i="4"/>
  <c r="I79" i="4"/>
  <c r="I95" i="4"/>
  <c r="I103" i="4"/>
  <c r="I119" i="4"/>
  <c r="I135" i="4"/>
  <c r="I151" i="4"/>
  <c r="I167" i="4"/>
  <c r="I207" i="4"/>
  <c r="I8" i="4"/>
  <c r="I16" i="4"/>
  <c r="I24" i="4"/>
  <c r="I32" i="4"/>
  <c r="I40" i="4"/>
  <c r="I48" i="4"/>
  <c r="I56" i="4"/>
  <c r="I64" i="4"/>
  <c r="I72" i="4"/>
  <c r="I80" i="4"/>
  <c r="I88" i="4"/>
  <c r="I96" i="4"/>
  <c r="I104" i="4"/>
  <c r="I112" i="4"/>
  <c r="I120" i="4"/>
  <c r="I128" i="4"/>
  <c r="I136" i="4"/>
  <c r="I144" i="4"/>
  <c r="I152" i="4"/>
  <c r="I160" i="4"/>
  <c r="I168" i="4"/>
  <c r="I176" i="4"/>
  <c r="I184" i="4"/>
  <c r="I192" i="4"/>
  <c r="I200" i="4"/>
  <c r="I208" i="4"/>
  <c r="I216" i="4"/>
  <c r="I224" i="4"/>
  <c r="I232" i="4"/>
  <c r="I240" i="4"/>
  <c r="I248" i="4"/>
  <c r="I256" i="4"/>
  <c r="I57" i="4"/>
  <c r="I105" i="4"/>
  <c r="I145" i="4"/>
  <c r="I209" i="4"/>
  <c r="I9" i="4"/>
  <c r="I65" i="4"/>
  <c r="I97" i="4"/>
  <c r="I129" i="4"/>
  <c r="I161" i="4"/>
  <c r="I185" i="4"/>
  <c r="I217" i="4"/>
  <c r="I241" i="4"/>
  <c r="I2" i="4"/>
  <c r="I10" i="4"/>
  <c r="I18" i="4"/>
  <c r="I26" i="4"/>
  <c r="I34" i="4"/>
  <c r="I42" i="4"/>
  <c r="I50" i="4"/>
  <c r="I58" i="4"/>
  <c r="I66" i="4"/>
  <c r="I74" i="4"/>
  <c r="I82" i="4"/>
  <c r="I90" i="4"/>
  <c r="I98" i="4"/>
  <c r="I106" i="4"/>
  <c r="I114" i="4"/>
  <c r="I122" i="4"/>
  <c r="I130" i="4"/>
  <c r="I138" i="4"/>
  <c r="I146" i="4"/>
  <c r="I154" i="4"/>
  <c r="I162" i="4"/>
  <c r="I170" i="4"/>
  <c r="I178" i="4"/>
  <c r="I186" i="4"/>
  <c r="I194" i="4"/>
  <c r="I202" i="4"/>
  <c r="I210" i="4"/>
  <c r="I218" i="4"/>
  <c r="I226" i="4"/>
  <c r="I234" i="4"/>
  <c r="I242" i="4"/>
  <c r="I250" i="4"/>
  <c r="I17" i="4"/>
  <c r="I81" i="4"/>
  <c r="I113" i="4"/>
  <c r="I137" i="4"/>
  <c r="I169" i="4"/>
  <c r="I193" i="4"/>
  <c r="I225" i="4"/>
  <c r="I11" i="4"/>
  <c r="I27" i="4"/>
  <c r="I43" i="4"/>
  <c r="I59" i="4"/>
  <c r="I75" i="4"/>
  <c r="I91" i="4"/>
  <c r="I107" i="4"/>
  <c r="I123" i="4"/>
  <c r="I147" i="4"/>
  <c r="I163" i="4"/>
  <c r="I179" i="4"/>
  <c r="I187" i="4"/>
  <c r="I203" i="4"/>
  <c r="I211" i="4"/>
  <c r="I219" i="4"/>
  <c r="I227" i="4"/>
  <c r="I235" i="4"/>
  <c r="I243" i="4"/>
  <c r="I251" i="4"/>
  <c r="I33" i="4"/>
  <c r="I89" i="4"/>
  <c r="I121" i="4"/>
  <c r="I153" i="4"/>
  <c r="I177" i="4"/>
  <c r="I201" i="4"/>
  <c r="I233" i="4"/>
  <c r="I249" i="4"/>
  <c r="I3" i="4"/>
  <c r="I19" i="4"/>
  <c r="I35" i="4"/>
  <c r="I51" i="4"/>
  <c r="I67" i="4"/>
  <c r="I83" i="4"/>
  <c r="I99" i="4"/>
  <c r="I115" i="4"/>
  <c r="I131" i="4"/>
  <c r="I139" i="4"/>
  <c r="I155" i="4"/>
  <c r="I171" i="4"/>
  <c r="I195" i="4"/>
  <c r="I4" i="4"/>
  <c r="I12" i="4"/>
  <c r="I20" i="4"/>
  <c r="I28" i="4"/>
  <c r="I36" i="4"/>
  <c r="I44" i="4"/>
  <c r="I52" i="4"/>
  <c r="I60" i="4"/>
  <c r="I68" i="4"/>
  <c r="I76" i="4"/>
  <c r="I84" i="4"/>
  <c r="I92" i="4"/>
  <c r="I100" i="4"/>
  <c r="I108" i="4"/>
  <c r="I116" i="4"/>
  <c r="I124" i="4"/>
  <c r="I132" i="4"/>
  <c r="I140" i="4"/>
  <c r="I148" i="4"/>
  <c r="I156" i="4"/>
  <c r="I164" i="4"/>
  <c r="I172" i="4"/>
  <c r="I180" i="4"/>
  <c r="I188" i="4"/>
  <c r="I196" i="4"/>
  <c r="I204" i="4"/>
  <c r="I212" i="4"/>
  <c r="I220" i="4"/>
  <c r="I228" i="4"/>
  <c r="I236" i="4"/>
  <c r="I244" i="4"/>
  <c r="I252" i="4"/>
  <c r="I49" i="4"/>
  <c r="I45" i="4"/>
  <c r="I125" i="4"/>
  <c r="I73" i="4"/>
  <c r="I21" i="4"/>
  <c r="I53" i="4"/>
  <c r="I85" i="4"/>
  <c r="I109" i="4"/>
  <c r="I141" i="4"/>
  <c r="I165" i="4"/>
  <c r="I189" i="4"/>
  <c r="I197" i="4"/>
  <c r="I221" i="4"/>
  <c r="I229" i="4"/>
  <c r="I245" i="4"/>
  <c r="I253" i="4"/>
  <c r="I6" i="4"/>
  <c r="I14" i="4"/>
  <c r="I22" i="4"/>
  <c r="I30" i="4"/>
  <c r="I38" i="4"/>
  <c r="I46" i="4"/>
  <c r="I54" i="4"/>
  <c r="I62" i="4"/>
  <c r="I70" i="4"/>
  <c r="I78" i="4"/>
  <c r="I86" i="4"/>
  <c r="I94" i="4"/>
  <c r="I102" i="4"/>
  <c r="I110" i="4"/>
  <c r="I118" i="4"/>
  <c r="I126" i="4"/>
  <c r="I134" i="4"/>
  <c r="I142" i="4"/>
  <c r="I150" i="4"/>
  <c r="I158" i="4"/>
  <c r="I166" i="4"/>
  <c r="I174" i="4"/>
  <c r="I182" i="4"/>
  <c r="I190" i="4"/>
  <c r="I198" i="4"/>
  <c r="I206" i="4"/>
  <c r="I214" i="4"/>
  <c r="I222" i="4"/>
  <c r="I230" i="4"/>
  <c r="I238" i="4"/>
  <c r="I246" i="4"/>
  <c r="I254" i="4"/>
  <c r="I25" i="4"/>
  <c r="I5" i="4"/>
  <c r="I29" i="4"/>
  <c r="I61" i="4"/>
  <c r="I77" i="4"/>
  <c r="I101" i="4"/>
  <c r="I133" i="4"/>
  <c r="I157" i="4"/>
  <c r="I181" i="4"/>
  <c r="I205" i="4"/>
  <c r="I237" i="4"/>
  <c r="I7" i="4"/>
  <c r="I23" i="4"/>
  <c r="I39" i="4"/>
  <c r="I55" i="4"/>
  <c r="I71" i="4"/>
  <c r="I87" i="4"/>
  <c r="I111" i="4"/>
  <c r="I127" i="4"/>
  <c r="I143" i="4"/>
  <c r="I159" i="4"/>
  <c r="I175" i="4"/>
  <c r="I183" i="4"/>
  <c r="I191" i="4"/>
  <c r="I199" i="4"/>
  <c r="I215" i="4"/>
  <c r="I223" i="4"/>
  <c r="I231" i="4"/>
  <c r="I239" i="4"/>
  <c r="I247" i="4"/>
  <c r="I255" i="4"/>
  <c r="D1" i="4"/>
  <c r="L1" i="4" l="1"/>
  <c r="H1" i="4"/>
  <c r="C7" i="1"/>
  <c r="D5" i="2" l="1"/>
  <c r="D4" i="2"/>
  <c r="D8" i="2"/>
  <c r="D3" i="2"/>
  <c r="D9" i="2"/>
  <c r="D7" i="2"/>
  <c r="D6" i="2"/>
  <c r="D2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<sst xmlns="http://schemas.openxmlformats.org/spreadsheetml/2006/main" count="4700" uniqueCount="1857">
  <si>
    <t>変換元フォルダ</t>
    <rPh sb="0" eb="3">
      <t>ヘンカンモト</t>
    </rPh>
    <phoneticPr fontId="1"/>
  </si>
  <si>
    <t>変換元形式</t>
    <rPh sb="0" eb="3">
      <t>ヘンカンモト</t>
    </rPh>
    <rPh sb="3" eb="5">
      <t>ケイシキ</t>
    </rPh>
    <phoneticPr fontId="1"/>
  </si>
  <si>
    <t>境界</t>
    <rPh sb="0" eb="2">
      <t>キョウカイ</t>
    </rPh>
    <phoneticPr fontId="1"/>
  </si>
  <si>
    <t>座標系</t>
    <rPh sb="0" eb="3">
      <t>ザヒョウケイ</t>
    </rPh>
    <phoneticPr fontId="1"/>
  </si>
  <si>
    <t>JGD2000</t>
    <phoneticPr fontId="1"/>
  </si>
  <si>
    <t>TOKYO</t>
    <phoneticPr fontId="1"/>
  </si>
  <si>
    <t>平面直角座標系</t>
    <rPh sb="0" eb="4">
      <t>ヘイメンチョッカク</t>
    </rPh>
    <rPh sb="4" eb="7">
      <t>ザヒョウケイ</t>
    </rPh>
    <phoneticPr fontId="1"/>
  </si>
  <si>
    <t>出力形式</t>
    <rPh sb="0" eb="2">
      <t>シュツリョク</t>
    </rPh>
    <rPh sb="2" eb="4">
      <t>ケイシキ</t>
    </rPh>
    <phoneticPr fontId="1"/>
  </si>
  <si>
    <t>林班界</t>
    <rPh sb="0" eb="3">
      <t>リンパンカイ</t>
    </rPh>
    <phoneticPr fontId="1"/>
  </si>
  <si>
    <t>林班区画</t>
    <rPh sb="0" eb="4">
      <t>リンパンクカク</t>
    </rPh>
    <phoneticPr fontId="1"/>
  </si>
  <si>
    <t>小班界</t>
    <rPh sb="0" eb="3">
      <t>ショウハンカイ</t>
    </rPh>
    <phoneticPr fontId="1"/>
  </si>
  <si>
    <t>小班区画</t>
    <rPh sb="0" eb="4">
      <t>ショウハンクカク</t>
    </rPh>
    <phoneticPr fontId="1"/>
  </si>
  <si>
    <t>林道</t>
    <rPh sb="0" eb="2">
      <t>リンドウ</t>
    </rPh>
    <phoneticPr fontId="1"/>
  </si>
  <si>
    <t>作業道</t>
    <rPh sb="0" eb="3">
      <t>サギョウドウ</t>
    </rPh>
    <phoneticPr fontId="1"/>
  </si>
  <si>
    <t>等高線10m間隔</t>
    <rPh sb="0" eb="3">
      <t>トウコウセン</t>
    </rPh>
    <rPh sb="6" eb="8">
      <t>カンカク</t>
    </rPh>
    <phoneticPr fontId="1"/>
  </si>
  <si>
    <t>等高線50m間隔</t>
    <rPh sb="0" eb="3">
      <t>トウコウセン</t>
    </rPh>
    <rPh sb="6" eb="8">
      <t>カンカク</t>
    </rPh>
    <phoneticPr fontId="1"/>
  </si>
  <si>
    <t>出力ファイル名</t>
    <rPh sb="0" eb="2">
      <t>シュツリョク</t>
    </rPh>
    <rPh sb="6" eb="7">
      <t>メイ</t>
    </rPh>
    <phoneticPr fontId="1"/>
  </si>
  <si>
    <t>1系</t>
    <rPh sb="1" eb="2">
      <t>ケイ</t>
    </rPh>
    <phoneticPr fontId="1"/>
  </si>
  <si>
    <t>2系</t>
    <rPh sb="1" eb="2">
      <t>ケイ</t>
    </rPh>
    <phoneticPr fontId="1"/>
  </si>
  <si>
    <t>3系</t>
    <rPh sb="1" eb="2">
      <t>ケイ</t>
    </rPh>
    <phoneticPr fontId="1"/>
  </si>
  <si>
    <t>4系</t>
    <rPh sb="1" eb="2">
      <t>ケイ</t>
    </rPh>
    <phoneticPr fontId="1"/>
  </si>
  <si>
    <t>5系</t>
    <rPh sb="1" eb="2">
      <t>ケイ</t>
    </rPh>
    <phoneticPr fontId="1"/>
  </si>
  <si>
    <t>6系</t>
    <rPh sb="1" eb="2">
      <t>ケイ</t>
    </rPh>
    <phoneticPr fontId="1"/>
  </si>
  <si>
    <t>7系</t>
    <rPh sb="1" eb="2">
      <t>ケイ</t>
    </rPh>
    <phoneticPr fontId="1"/>
  </si>
  <si>
    <t>8系</t>
    <rPh sb="1" eb="2">
      <t>ケイ</t>
    </rPh>
    <phoneticPr fontId="1"/>
  </si>
  <si>
    <t>9系</t>
    <rPh sb="1" eb="2">
      <t>ケイ</t>
    </rPh>
    <phoneticPr fontId="1"/>
  </si>
  <si>
    <t>10系</t>
    <rPh sb="2" eb="3">
      <t>ケイ</t>
    </rPh>
    <phoneticPr fontId="1"/>
  </si>
  <si>
    <t>11系</t>
    <rPh sb="2" eb="3">
      <t>ケイ</t>
    </rPh>
    <phoneticPr fontId="1"/>
  </si>
  <si>
    <t>12系</t>
    <rPh sb="2" eb="3">
      <t>ケイ</t>
    </rPh>
    <phoneticPr fontId="1"/>
  </si>
  <si>
    <t>13系</t>
    <rPh sb="2" eb="3">
      <t>ケイ</t>
    </rPh>
    <phoneticPr fontId="1"/>
  </si>
  <si>
    <t>レイヤ名</t>
    <rPh sb="3" eb="4">
      <t>メイ</t>
    </rPh>
    <phoneticPr fontId="1"/>
  </si>
  <si>
    <t>文字コード化</t>
    <rPh sb="0" eb="2">
      <t>モジ</t>
    </rPh>
    <rPh sb="5" eb="6">
      <t>カ</t>
    </rPh>
    <phoneticPr fontId="1"/>
  </si>
  <si>
    <t>変換元ファイル名</t>
    <rPh sb="0" eb="3">
      <t>ヘンカンモト</t>
    </rPh>
    <rPh sb="7" eb="8">
      <t>メイ</t>
    </rPh>
    <phoneticPr fontId="1"/>
  </si>
  <si>
    <t>※変換元がGeoPackageの場合</t>
    <rPh sb="1" eb="4">
      <t>ヘンカンモト</t>
    </rPh>
    <rPh sb="16" eb="18">
      <t>バアイ</t>
    </rPh>
    <phoneticPr fontId="1"/>
  </si>
  <si>
    <t>出力フォルダ</t>
    <rPh sb="0" eb="2">
      <t>シュツリョク</t>
    </rPh>
    <phoneticPr fontId="1"/>
  </si>
  <si>
    <t>$B$2</t>
    <phoneticPr fontId="1"/>
  </si>
  <si>
    <t>$B$3</t>
  </si>
  <si>
    <t>$B$4</t>
  </si>
  <si>
    <t>$B$5</t>
  </si>
  <si>
    <t>$B$6</t>
  </si>
  <si>
    <t>$B$7</t>
  </si>
  <si>
    <t>$B$8</t>
  </si>
  <si>
    <t>$B$9</t>
  </si>
  <si>
    <t>$B$10</t>
  </si>
  <si>
    <t>$B$11</t>
  </si>
  <si>
    <t>$B$12</t>
  </si>
  <si>
    <t>$B$13</t>
  </si>
  <si>
    <t>$B$14</t>
  </si>
  <si>
    <t>$B$15</t>
  </si>
  <si>
    <t>$B$16</t>
  </si>
  <si>
    <t>$B$17</t>
  </si>
  <si>
    <t>$B$18</t>
  </si>
  <si>
    <t>$B$19</t>
  </si>
  <si>
    <t>$B$20</t>
  </si>
  <si>
    <t>$B$21</t>
  </si>
  <si>
    <t>$B$22</t>
  </si>
  <si>
    <t>$B$23</t>
  </si>
  <si>
    <t>$B$24</t>
  </si>
  <si>
    <t>$B$25</t>
  </si>
  <si>
    <t>$B$26</t>
  </si>
  <si>
    <t>$B$27</t>
  </si>
  <si>
    <t>$B$28</t>
  </si>
  <si>
    <t>$B$29</t>
  </si>
  <si>
    <t>$B$30</t>
  </si>
  <si>
    <t>$B$31</t>
  </si>
  <si>
    <t>$B$32</t>
  </si>
  <si>
    <t>$B$33</t>
  </si>
  <si>
    <t>$B$34</t>
  </si>
  <si>
    <t>$B$35</t>
  </si>
  <si>
    <t>$B$36</t>
  </si>
  <si>
    <t>$B$37</t>
  </si>
  <si>
    <t>$B$38</t>
  </si>
  <si>
    <t>$B$39</t>
  </si>
  <si>
    <t>$B$40</t>
  </si>
  <si>
    <t>$B$41</t>
  </si>
  <si>
    <t>$B$42</t>
  </si>
  <si>
    <t>$B$43</t>
  </si>
  <si>
    <t>$B$44</t>
  </si>
  <si>
    <t>$B$45</t>
  </si>
  <si>
    <t>$B$46</t>
  </si>
  <si>
    <t>$B$47</t>
  </si>
  <si>
    <t>$B$48</t>
  </si>
  <si>
    <t>$B$49</t>
  </si>
  <si>
    <t>$B$50</t>
  </si>
  <si>
    <t>$B$51</t>
  </si>
  <si>
    <t>$B$52</t>
  </si>
  <si>
    <t>$B$53</t>
  </si>
  <si>
    <t>$B$54</t>
  </si>
  <si>
    <t>$B$55</t>
  </si>
  <si>
    <t>$B$56</t>
  </si>
  <si>
    <t>$B$57</t>
  </si>
  <si>
    <t>$B$58</t>
  </si>
  <si>
    <t>$B$59</t>
  </si>
  <si>
    <t>$B$60</t>
  </si>
  <si>
    <t>$B$61</t>
  </si>
  <si>
    <t>$B$62</t>
  </si>
  <si>
    <t>$B$63</t>
  </si>
  <si>
    <t>$B$64</t>
  </si>
  <si>
    <t>$F$2</t>
    <phoneticPr fontId="1"/>
  </si>
  <si>
    <t>$F$3</t>
    <phoneticPr fontId="1"/>
  </si>
  <si>
    <t>$F$4</t>
  </si>
  <si>
    <t>$F$5</t>
  </si>
  <si>
    <t>$F$6</t>
  </si>
  <si>
    <t>$F$7</t>
  </si>
  <si>
    <t>$F$8</t>
  </si>
  <si>
    <t>$F$9</t>
  </si>
  <si>
    <t>$F$10</t>
  </si>
  <si>
    <t>$F$11</t>
  </si>
  <si>
    <t>$F$12</t>
  </si>
  <si>
    <t>$F$13</t>
  </si>
  <si>
    <t>$F$14</t>
  </si>
  <si>
    <t>$F$15</t>
  </si>
  <si>
    <t>$F$16</t>
  </si>
  <si>
    <t>$F$17</t>
  </si>
  <si>
    <t>$F$18</t>
  </si>
  <si>
    <t>$F$19</t>
  </si>
  <si>
    <t>$F$20</t>
  </si>
  <si>
    <t>$F$21</t>
  </si>
  <si>
    <t>$F$22</t>
  </si>
  <si>
    <t>$F$23</t>
  </si>
  <si>
    <t>$F$24</t>
  </si>
  <si>
    <t>$F$25</t>
  </si>
  <si>
    <t>$F$26</t>
  </si>
  <si>
    <t>$F$27</t>
  </si>
  <si>
    <t>$F$28</t>
  </si>
  <si>
    <t>$F$29</t>
  </si>
  <si>
    <t>$F$30</t>
  </si>
  <si>
    <t>$F$31</t>
  </si>
  <si>
    <t>$F$32</t>
  </si>
  <si>
    <t>$F$33</t>
  </si>
  <si>
    <t>$F$34</t>
  </si>
  <si>
    <t>$F$35</t>
  </si>
  <si>
    <t>$F$36</t>
  </si>
  <si>
    <t>$F$37</t>
  </si>
  <si>
    <t>$F$38</t>
  </si>
  <si>
    <t>$F$39</t>
  </si>
  <si>
    <t>$F$40</t>
  </si>
  <si>
    <t>$F$41</t>
  </si>
  <si>
    <t>$F$42</t>
  </si>
  <si>
    <t>$F$43</t>
  </si>
  <si>
    <t>$F$44</t>
  </si>
  <si>
    <t>$F$45</t>
  </si>
  <si>
    <t>$F$46</t>
  </si>
  <si>
    <t>$F$47</t>
  </si>
  <si>
    <t>$F$48</t>
  </si>
  <si>
    <t>$F$49</t>
  </si>
  <si>
    <t>$F$50</t>
  </si>
  <si>
    <t>$F$51</t>
  </si>
  <si>
    <t>$F$52</t>
  </si>
  <si>
    <t>$F$53</t>
  </si>
  <si>
    <t>$F$54</t>
  </si>
  <si>
    <t>$F$55</t>
  </si>
  <si>
    <t>$F$56</t>
  </si>
  <si>
    <t>$F$57</t>
  </si>
  <si>
    <t>$F$58</t>
  </si>
  <si>
    <t>$F$59</t>
  </si>
  <si>
    <t>$F$60</t>
  </si>
  <si>
    <t>$F$61</t>
  </si>
  <si>
    <t>$F$62</t>
  </si>
  <si>
    <t>$F$63</t>
  </si>
  <si>
    <t>$F$64</t>
  </si>
  <si>
    <t>$F$65</t>
  </si>
  <si>
    <t>$F$66</t>
  </si>
  <si>
    <t>$F$67</t>
  </si>
  <si>
    <t>$F$68</t>
  </si>
  <si>
    <t>$F$69</t>
  </si>
  <si>
    <t>$F$70</t>
  </si>
  <si>
    <t>$F$71</t>
  </si>
  <si>
    <t>$F$72</t>
  </si>
  <si>
    <t>$F$73</t>
  </si>
  <si>
    <t>$F$74</t>
  </si>
  <si>
    <t>$F$75</t>
  </si>
  <si>
    <t>$F$76</t>
  </si>
  <si>
    <t>$F$77</t>
  </si>
  <si>
    <t>$F$78</t>
  </si>
  <si>
    <t>$F$79</t>
  </si>
  <si>
    <t>$F$80</t>
  </si>
  <si>
    <t>$F$81</t>
  </si>
  <si>
    <t>$F$82</t>
  </si>
  <si>
    <t>$F$83</t>
  </si>
  <si>
    <t>$F$84</t>
  </si>
  <si>
    <t>$F$85</t>
  </si>
  <si>
    <t>$F$86</t>
  </si>
  <si>
    <t>$F$87</t>
  </si>
  <si>
    <t>$F$88</t>
  </si>
  <si>
    <t>$F$89</t>
  </si>
  <si>
    <t>$F$90</t>
  </si>
  <si>
    <t>$F$91</t>
  </si>
  <si>
    <t>$F$92</t>
  </si>
  <si>
    <t>$F$93</t>
  </si>
  <si>
    <t>$F$94</t>
  </si>
  <si>
    <t>$F$95</t>
  </si>
  <si>
    <t>$F$96</t>
  </si>
  <si>
    <t>$F$97</t>
  </si>
  <si>
    <t>$F$98</t>
  </si>
  <si>
    <t>$F$99</t>
  </si>
  <si>
    <t>$F$100</t>
  </si>
  <si>
    <t>$F$101</t>
  </si>
  <si>
    <t>$F$102</t>
  </si>
  <si>
    <t>$F$103</t>
  </si>
  <si>
    <t>$F$104</t>
  </si>
  <si>
    <t>$F$105</t>
  </si>
  <si>
    <t>$F$106</t>
  </si>
  <si>
    <t>$F$107</t>
  </si>
  <si>
    <t>$F$108</t>
  </si>
  <si>
    <t>$F$109</t>
  </si>
  <si>
    <t>$F$110</t>
  </si>
  <si>
    <t>$F$111</t>
  </si>
  <si>
    <t>$F$112</t>
  </si>
  <si>
    <t>$F$113</t>
  </si>
  <si>
    <t>$F$114</t>
  </si>
  <si>
    <t>$F$115</t>
  </si>
  <si>
    <t>$F$116</t>
  </si>
  <si>
    <t>$F$117</t>
  </si>
  <si>
    <t>$F$118</t>
  </si>
  <si>
    <t>$F$119</t>
  </si>
  <si>
    <t>$F$120</t>
  </si>
  <si>
    <t>$F$121</t>
  </si>
  <si>
    <t>$F$122</t>
  </si>
  <si>
    <t>$F$123</t>
  </si>
  <si>
    <t>$F$124</t>
  </si>
  <si>
    <t>$F$125</t>
  </si>
  <si>
    <t>$F$126</t>
  </si>
  <si>
    <t>$F$127</t>
  </si>
  <si>
    <t>$F$128</t>
  </si>
  <si>
    <t>$F$129</t>
  </si>
  <si>
    <t>$F$130</t>
  </si>
  <si>
    <t>$F$131</t>
  </si>
  <si>
    <t>$F$132</t>
  </si>
  <si>
    <t>$F$133</t>
  </si>
  <si>
    <t>$F$134</t>
  </si>
  <si>
    <t>$F$135</t>
  </si>
  <si>
    <t>$F$136</t>
  </si>
  <si>
    <t>$F$137</t>
  </si>
  <si>
    <t>$F$138</t>
  </si>
  <si>
    <t>$F$139</t>
  </si>
  <si>
    <t>$F$140</t>
  </si>
  <si>
    <t>$F$141</t>
  </si>
  <si>
    <t>$F$142</t>
  </si>
  <si>
    <t>$F$143</t>
  </si>
  <si>
    <t>$F$144</t>
  </si>
  <si>
    <t>$F$145</t>
  </si>
  <si>
    <t>$F$146</t>
  </si>
  <si>
    <t>$F$147</t>
  </si>
  <si>
    <t>$F$148</t>
  </si>
  <si>
    <t>$F$149</t>
  </si>
  <si>
    <t>$F$150</t>
  </si>
  <si>
    <t>$F$151</t>
  </si>
  <si>
    <t>$F$152</t>
  </si>
  <si>
    <t>$F$153</t>
  </si>
  <si>
    <t>$F$154</t>
  </si>
  <si>
    <t>$F$155</t>
  </si>
  <si>
    <t>$F$156</t>
  </si>
  <si>
    <t>$F$157</t>
  </si>
  <si>
    <t>$F$158</t>
  </si>
  <si>
    <t>$F$159</t>
  </si>
  <si>
    <t>$F$160</t>
  </si>
  <si>
    <t>$F$161</t>
  </si>
  <si>
    <t>$F$162</t>
  </si>
  <si>
    <t>$F$163</t>
  </si>
  <si>
    <t>$F$164</t>
  </si>
  <si>
    <t>$F$165</t>
  </si>
  <si>
    <t>$F$166</t>
  </si>
  <si>
    <t>$F$167</t>
  </si>
  <si>
    <t>$F$168</t>
  </si>
  <si>
    <t>$F$169</t>
  </si>
  <si>
    <t>$F$170</t>
  </si>
  <si>
    <t>$F$171</t>
  </si>
  <si>
    <t>$F$172</t>
  </si>
  <si>
    <t>$F$173</t>
  </si>
  <si>
    <t>$F$174</t>
  </si>
  <si>
    <t>$F$175</t>
  </si>
  <si>
    <t>$F$176</t>
  </si>
  <si>
    <t>$F$177</t>
  </si>
  <si>
    <t>$F$178</t>
  </si>
  <si>
    <t>$F$179</t>
  </si>
  <si>
    <t>$F$180</t>
  </si>
  <si>
    <t>$F$181</t>
  </si>
  <si>
    <t>$F$182</t>
  </si>
  <si>
    <t>$F$183</t>
  </si>
  <si>
    <t>$F$184</t>
  </si>
  <si>
    <t>$F$185</t>
  </si>
  <si>
    <t>$F$186</t>
  </si>
  <si>
    <t>$F$187</t>
  </si>
  <si>
    <t>$F$188</t>
  </si>
  <si>
    <t>$F$189</t>
  </si>
  <si>
    <t>$F$190</t>
  </si>
  <si>
    <t>$F$191</t>
  </si>
  <si>
    <t>$F$192</t>
  </si>
  <si>
    <t>$F$193</t>
  </si>
  <si>
    <t>$F$194</t>
  </si>
  <si>
    <t>$F$195</t>
  </si>
  <si>
    <t>$F$196</t>
  </si>
  <si>
    <t>$F$197</t>
  </si>
  <si>
    <t>$F$198</t>
  </si>
  <si>
    <t>$F$199</t>
  </si>
  <si>
    <t>$F$200</t>
  </si>
  <si>
    <t>$F$201</t>
  </si>
  <si>
    <t>$F$202</t>
  </si>
  <si>
    <t>$F$203</t>
  </si>
  <si>
    <t>$F$204</t>
  </si>
  <si>
    <t>$F$205</t>
  </si>
  <si>
    <t>$F$206</t>
  </si>
  <si>
    <t>$F$207</t>
  </si>
  <si>
    <t>$F$208</t>
  </si>
  <si>
    <t>$F$209</t>
  </si>
  <si>
    <t>$F$210</t>
  </si>
  <si>
    <t>$F$211</t>
  </si>
  <si>
    <t>$F$212</t>
  </si>
  <si>
    <t>$F$213</t>
  </si>
  <si>
    <t>$F$214</t>
  </si>
  <si>
    <t>$F$215</t>
  </si>
  <si>
    <t>$F$216</t>
  </si>
  <si>
    <t>$F$217</t>
  </si>
  <si>
    <t>$F$218</t>
  </si>
  <si>
    <t>$F$219</t>
  </si>
  <si>
    <t>$F$220</t>
  </si>
  <si>
    <t>$F$221</t>
  </si>
  <si>
    <t>$F$222</t>
  </si>
  <si>
    <t>$F$223</t>
  </si>
  <si>
    <t>$F$224</t>
  </si>
  <si>
    <t>$F$225</t>
  </si>
  <si>
    <t>$F$226</t>
  </si>
  <si>
    <t>$F$227</t>
  </si>
  <si>
    <t>$F$228</t>
  </si>
  <si>
    <t>$F$229</t>
  </si>
  <si>
    <t>$F$230</t>
  </si>
  <si>
    <t>$F$231</t>
  </si>
  <si>
    <t>$F$232</t>
  </si>
  <si>
    <t>$F$233</t>
  </si>
  <si>
    <t>$F$234</t>
  </si>
  <si>
    <t>$F$235</t>
  </si>
  <si>
    <t>$F$236</t>
  </si>
  <si>
    <t>$F$237</t>
  </si>
  <si>
    <t>$F$238</t>
  </si>
  <si>
    <t>$F$239</t>
  </si>
  <si>
    <t>$F$240</t>
  </si>
  <si>
    <t>$F$241</t>
  </si>
  <si>
    <t>$F$242</t>
  </si>
  <si>
    <t>$F$243</t>
  </si>
  <si>
    <t>$F$244</t>
  </si>
  <si>
    <t>$F$245</t>
  </si>
  <si>
    <t>$F$246</t>
  </si>
  <si>
    <t>$F$247</t>
  </si>
  <si>
    <t>$F$248</t>
  </si>
  <si>
    <t>$F$249</t>
  </si>
  <si>
    <t>$F$250</t>
  </si>
  <si>
    <t>$F$251</t>
  </si>
  <si>
    <t>$F$252</t>
  </si>
  <si>
    <t>$F$253</t>
  </si>
  <si>
    <t>$F$254</t>
  </si>
  <si>
    <t>$F$255</t>
  </si>
  <si>
    <t>$F$256</t>
  </si>
  <si>
    <t>国有林データ_十勝東部署_R4</t>
    <phoneticPr fontId="1"/>
  </si>
  <si>
    <t>Ver.0.5</t>
    <phoneticPr fontId="1"/>
  </si>
  <si>
    <t>■更新履歴</t>
    <rPh sb="1" eb="5">
      <t>コウシンリレキ</t>
    </rPh>
    <phoneticPr fontId="1"/>
  </si>
  <si>
    <t>とりあえずローンチ。</t>
    <phoneticPr fontId="1"/>
  </si>
  <si>
    <t>・「フォルダパスが256文字以上」の場合エラーメッセージ吐くようにする</t>
    <rPh sb="12" eb="16">
      <t>モジイジョウ</t>
    </rPh>
    <rPh sb="18" eb="20">
      <t>バアイ</t>
    </rPh>
    <rPh sb="28" eb="29">
      <t>ハ</t>
    </rPh>
    <phoneticPr fontId="1"/>
  </si>
  <si>
    <t>shp</t>
  </si>
  <si>
    <t>Ver.0.6</t>
    <phoneticPr fontId="1"/>
  </si>
  <si>
    <t>Ver.0.7</t>
    <phoneticPr fontId="1"/>
  </si>
  <si>
    <t>gsb読み込み失敗するので使うのやめてEPSG:6712使う</t>
    <rPh sb="13" eb="14">
      <t>ツカ</t>
    </rPh>
    <rPh sb="28" eb="29">
      <t>ツカ</t>
    </rPh>
    <phoneticPr fontId="1"/>
  </si>
  <si>
    <t>「レイヤ」シートの「結合」列（セル内文字数上限引っかかったため暫定で作成）はVBAでの処理に切り替えたい</t>
    <rPh sb="10" eb="12">
      <t>ケツゴウ</t>
    </rPh>
    <rPh sb="13" eb="14">
      <t>レツ</t>
    </rPh>
    <rPh sb="31" eb="33">
      <t>ザンテイ</t>
    </rPh>
    <rPh sb="34" eb="36">
      <t>サクセイ</t>
    </rPh>
    <rPh sb="43" eb="45">
      <t>ショリ</t>
    </rPh>
    <rPh sb="46" eb="47">
      <t>キ</t>
    </rPh>
    <rPh sb="48" eb="49">
      <t>カ</t>
    </rPh>
    <phoneticPr fontId="1"/>
  </si>
  <si>
    <t>変換コード</t>
    <rPh sb="0" eb="2">
      <t>ヘンカン</t>
    </rPh>
    <phoneticPr fontId="1"/>
  </si>
  <si>
    <t>Ver.0.8</t>
    <phoneticPr fontId="1"/>
  </si>
  <si>
    <t>Shape出力に対応</t>
    <rPh sb="5" eb="7">
      <t>シュツリョク</t>
    </rPh>
    <rPh sb="8" eb="10">
      <t>タイオウ</t>
    </rPh>
    <phoneticPr fontId="1"/>
  </si>
  <si>
    <t>※変換元がShapeの場合</t>
    <rPh sb="1" eb="4">
      <t>ヘンカンモト</t>
    </rPh>
    <rPh sb="11" eb="13">
      <t>バアイ</t>
    </rPh>
    <phoneticPr fontId="1"/>
  </si>
  <si>
    <t>■変換コード</t>
    <rPh sb="1" eb="3">
      <t>ヘンカン</t>
    </rPh>
    <phoneticPr fontId="1"/>
  </si>
  <si>
    <t>変換元フォルダUnicode&amp;出力ファイル名Unicode&amp;".gpkg' table=\"""&amp;$C2&amp;"\"" (geom)""}}"</t>
    <phoneticPr fontId="1"/>
  </si>
  <si>
    <t>変換先フォルダUnicode&amp;C2&amp;".shp"</t>
    <rPh sb="2" eb="3">
      <t>サキ</t>
    </rPh>
    <phoneticPr fontId="1"/>
  </si>
  <si>
    <t>※GeoPackageファイル名</t>
    <rPh sb="15" eb="16">
      <t>メイ</t>
    </rPh>
    <phoneticPr fontId="1"/>
  </si>
  <si>
    <t>14系</t>
    <rPh sb="2" eb="3">
      <t>ケイ</t>
    </rPh>
    <phoneticPr fontId="1"/>
  </si>
  <si>
    <t>15系</t>
    <rPh sb="2" eb="3">
      <t>ケイ</t>
    </rPh>
    <phoneticPr fontId="1"/>
  </si>
  <si>
    <t>16系</t>
    <rPh sb="2" eb="3">
      <t>ケイ</t>
    </rPh>
    <phoneticPr fontId="1"/>
  </si>
  <si>
    <t>17系</t>
    <rPh sb="2" eb="3">
      <t>ケイ</t>
    </rPh>
    <phoneticPr fontId="1"/>
  </si>
  <si>
    <t>18系</t>
    <rPh sb="2" eb="3">
      <t>ケイ</t>
    </rPh>
    <phoneticPr fontId="1"/>
  </si>
  <si>
    <t>19系</t>
    <rPh sb="2" eb="3">
      <t>ケイ</t>
    </rPh>
    <phoneticPr fontId="1"/>
  </si>
  <si>
    <r>
      <rPr>
        <b/>
        <sz val="11"/>
        <color theme="1"/>
        <rFont val="游ゴシック"/>
        <family val="3"/>
        <charset val="128"/>
        <scheme val="minor"/>
      </rPr>
      <t>変換元フォルダ名を表示</t>
    </r>
    <r>
      <rPr>
        <sz val="11"/>
        <color theme="1"/>
        <rFont val="游ゴシック"/>
        <family val="2"/>
        <charset val="128"/>
        <scheme val="minor"/>
      </rPr>
      <t xml:space="preserve">
=RIGHT(変換元フォルダ,LEN(変換元フォルダ)-FIND("＊",SUBSTITUTE(変換元フォルダ,"\","＊",LEN(変換元フォルダ)-LEN(SUBSTITUTE(変換元フォルダ,"\","")))))</t>
    </r>
    <rPh sb="0" eb="1">
      <t>ヘンカンモト</t>
    </rPh>
    <rPh sb="5" eb="6">
      <t>メイ</t>
    </rPh>
    <rPh sb="7" eb="9">
      <t>ヒョウジ</t>
    </rPh>
    <phoneticPr fontId="1"/>
  </si>
  <si>
    <r>
      <rPr>
        <b/>
        <sz val="11"/>
        <color theme="1"/>
        <rFont val="游ゴシック"/>
        <family val="3"/>
        <charset val="128"/>
        <scheme val="minor"/>
      </rPr>
      <t>ファイルパスを指定</t>
    </r>
    <r>
      <rPr>
        <sz val="11"/>
        <color theme="1"/>
        <rFont val="游ゴシック"/>
        <family val="3"/>
        <charset val="128"/>
        <scheme val="minor"/>
      </rPr>
      <t>（GeoPackageなら「変換元ファイル名.gpkg|layername=レイヤ名」、Shapeなら「変換元ファイル名.shp」とし、パスは全てUnicode変換）</t>
    </r>
    <r>
      <rPr>
        <sz val="11"/>
        <color theme="1"/>
        <rFont val="游ゴシック"/>
        <family val="2"/>
        <charset val="128"/>
        <scheme val="minor"/>
      </rPr>
      <t xml:space="preserve">
'="{""PARAMETERS"": {""2"": ""'"&amp;変換元フォルダUnicode&amp;IF(変換元形式="gpkg",変換元ファイル名Unicode&amp;".gpkg|layername="&amp;C2,C2&amp;".shp")
</t>
    </r>
    <r>
      <rPr>
        <b/>
        <sz val="11"/>
        <color theme="1"/>
        <rFont val="游ゴシック"/>
        <family val="3"/>
        <charset val="128"/>
        <scheme val="minor"/>
      </rPr>
      <t>対応する座標参照系のCRSを指定</t>
    </r>
    <r>
      <rPr>
        <sz val="11"/>
        <color theme="1"/>
        <rFont val="游ゴシック"/>
        <family val="2"/>
        <charset val="128"/>
        <scheme val="minor"/>
      </rPr>
      <t xml:space="preserve">
&amp;"'"", ""crsjgd2000"": ""QgsCoordinateReferenceSystem('EPSG:"&amp;XLOOKUP(入力!$B$8,座標系[座標系],座標系[JGD2000],"",0)&amp;"')"", ""crstokyo"": ""QgsCoordinateReferenceSystem('EPSG:"&amp;XLOOKUP(入力!$B$8,座標系[座標系],座標系[TOKYO],"",0)&amp;"')""}, 
</t>
    </r>
    <r>
      <rPr>
        <b/>
        <sz val="11"/>
        <color theme="1"/>
        <rFont val="游ゴシック"/>
        <family val="3"/>
        <charset val="128"/>
        <scheme val="minor"/>
      </rPr>
      <t>出力ファイルパスを指定</t>
    </r>
    <r>
      <rPr>
        <sz val="11"/>
        <color theme="1"/>
        <rFont val="游ゴシック"/>
        <family val="2"/>
        <charset val="128"/>
        <scheme val="minor"/>
      </rPr>
      <t>（入力ファイル同様GeoPackageとshpで場合分けし、Unicode変換）
""OUTPUTS"": "&amp;IF(変換先形式="gpkg","{"""": ""ogr:dbname='"&amp;変換元フォルダUnicode&amp;出力ファイル名Unicode&amp;".gpkg' table=\"""&amp;$C2&amp;"\"" (geom)""}}","{"""": """&amp;変換先フォルダUnicode&amp;C2&amp;".shp""}}")</t>
    </r>
    <rPh sb="6" eb="8">
      <t>シテイ</t>
    </rPh>
    <rPh sb="22" eb="25">
      <t>ヘンカンモト</t>
    </rPh>
    <rPh sb="29" eb="30">
      <t>メイ</t>
    </rPh>
    <rPh sb="49" eb="50">
      <t>メイ</t>
    </rPh>
    <rPh sb="60" eb="63">
      <t>ヘンカンモト</t>
    </rPh>
    <rPh sb="67" eb="68">
      <t>メイ</t>
    </rPh>
    <rPh sb="79" eb="80">
      <t>スベ</t>
    </rPh>
    <rPh sb="88" eb="90">
      <t>ヘンカン</t>
    </rPh>
    <rPh sb="206" eb="208">
      <t>タイオウ</t>
    </rPh>
    <rPh sb="210" eb="215">
      <t>ザヒョウサンショウケイ</t>
    </rPh>
    <rPh sb="220" eb="222">
      <t>シテイ</t>
    </rPh>
    <rPh sb="442" eb="444">
      <t>シュツリョク</t>
    </rPh>
    <rPh sb="451" eb="453">
      <t>シテイ</t>
    </rPh>
    <rPh sb="454" eb="456">
      <t>ニュウリョク</t>
    </rPh>
    <rPh sb="460" eb="462">
      <t>ドウヨウ</t>
    </rPh>
    <rPh sb="477" eb="480">
      <t>バアイワ</t>
    </rPh>
    <rPh sb="490" eb="492">
      <t>ヘンカン</t>
    </rPh>
    <phoneticPr fontId="1"/>
  </si>
  <si>
    <t>fgb</t>
  </si>
  <si>
    <t>E:\G空間情報センター\01北海道\01渡島檜山森林計画区\第11系</t>
  </si>
  <si>
    <t>E:\G空間情報センター\01北海道\02後志胆振森林計画区\第11系</t>
  </si>
  <si>
    <t>E:\G空間情報センター\01北海道\02後志胆振森林計画区\第12系</t>
  </si>
  <si>
    <t>E:\G空間情報センター\01北海道\03胆振東部森林計画区\第12系</t>
  </si>
  <si>
    <t>E:\G空間情報センター\01北海道\04日高森林計画区\第12系</t>
  </si>
  <si>
    <t>E:\G空間情報センター\01北海道\05石狩空知森林計画区\第11系</t>
  </si>
  <si>
    <t>E:\G空間情報センター\01北海道\05石狩空知森林計画区\第12系</t>
  </si>
  <si>
    <t>E:\G空間情報センター\01北海道\06上川南部森林計画区\第12系</t>
  </si>
  <si>
    <t>E:\G空間情報センター\01北海道\07上川北部森林計画区\第12系</t>
  </si>
  <si>
    <t>E:\G空間情報センター\01北海道\08留萌森林計画区\第12系</t>
  </si>
  <si>
    <t>E:\G空間情報センター\01北海道\09宗谷森林計画区\第12系</t>
  </si>
  <si>
    <t>E:\G空間情報センター\01北海道\10網走西部森林計画区\第12系</t>
  </si>
  <si>
    <t>E:\G空間情報センター\01北海道\11網走東部森林計画区\第13系</t>
  </si>
  <si>
    <t>E:\G空間情報センター\01北海道\12釧路根室森林計画区\第13系</t>
  </si>
  <si>
    <t>E:\G空間情報センター\01北海道\13十勝森林計画区\第13系</t>
  </si>
  <si>
    <t>E:\G空間情報センター\02青森県\14津軽森林計画区\第10系</t>
  </si>
  <si>
    <t>E:\G空間情報センター\02青森県\15東青森林計画区\第10系</t>
  </si>
  <si>
    <t>E:\G空間情報センター\02青森県\16下北森林計画区\第10系</t>
  </si>
  <si>
    <t>E:\G空間情報センター\02青森県\17三八上北森林計画区\第10系</t>
  </si>
  <si>
    <t>E:\G空間情報センター\03岩手県\18馬淵川上流森林計画区\第10系</t>
  </si>
  <si>
    <t>E:\G空間情報センター\03岩手県\19久慈・閉伊川森林計画区\第10系</t>
  </si>
  <si>
    <t>E:\G空間情報センター\03岩手県\20大槌・気仙川森林計画区\第10系</t>
  </si>
  <si>
    <t>E:\G空間情報センター\03岩手県\21北上川上流森林計画区\第10系</t>
  </si>
  <si>
    <t>E:\G空間情報センター\03岩手県\22北上川中流森林計画区\第10系</t>
  </si>
  <si>
    <t>E:\G空間情報センター\04宮城県\23宮城北部森林計画区\第10系</t>
  </si>
  <si>
    <t>E:\G空間情報センター\04宮城県\24宮城南部森林計画区\第10系</t>
  </si>
  <si>
    <t>E:\G空間情報センター\05秋田県\25米代川森林計画区\第10系</t>
  </si>
  <si>
    <t>E:\G空間情報センター\05秋田県\26雄物川森林計画区\第10系</t>
  </si>
  <si>
    <t>E:\G空間情報センター\05秋田県\27子吉川森林計画区\第10系</t>
  </si>
  <si>
    <t>E:\G空間情報センター\06山形県\28庄内森林計画区\第10系</t>
  </si>
  <si>
    <t>E:\G空間情報センター\06山形県\29最上村山森林計画区\第10系</t>
  </si>
  <si>
    <t>E:\G空間情報センター\06山形県\30置賜森林計画区\第10系</t>
  </si>
  <si>
    <t>E:\G空間情報センター\07福島県\31磐城森林計画区\第9系</t>
  </si>
  <si>
    <t>E:\G空間情報センター\07福島県\32阿武隈川森林計画区\第9系</t>
  </si>
  <si>
    <t>E:\G空間情報センター\07福島県\33会津森林計画区\第9系</t>
  </si>
  <si>
    <t>E:\G空間情報センター\07福島県\34奥久慈森林計画区\第9系</t>
  </si>
  <si>
    <t>E:\G空間情報センター\08茨城県\35八溝多賀森林計画区\第9系</t>
  </si>
  <si>
    <t>E:\G空間情報センター\08茨城県\36水戸那珂森林計画区\第9系</t>
  </si>
  <si>
    <t>E:\G空間情報センター\08茨城県\37霞ヶ浦森林計画区\第9系</t>
  </si>
  <si>
    <t>E:\G空間情報センター\09栃木県\38那珂川森林計画区\第9系</t>
  </si>
  <si>
    <t>E:\G空間情報センター\09栃木県\39鬼怒川森林計画区\第9系</t>
  </si>
  <si>
    <t>E:\G空間情報センター\09栃木県\40渡良瀬川森林計画区\第9系</t>
  </si>
  <si>
    <t>E:\G空間情報センター\10群馬県\41利根上流森林計画区\第9系</t>
  </si>
  <si>
    <t>E:\G空間情報センター\10群馬県\42吾妻森林計画区\第9系</t>
  </si>
  <si>
    <t>E:\G空間情報センター\10群馬県\43利根下流森林計画区\第9系</t>
  </si>
  <si>
    <t>E:\G空間情報センター\10群馬県\44西毛森林計画区\第9系</t>
  </si>
  <si>
    <t>E:\G空間情報センター\11埼玉県\45埼玉森林計画区\第9系</t>
  </si>
  <si>
    <t>E:\G空間情報センター\12千葉県\46千葉北部森林計画区\第9系</t>
  </si>
  <si>
    <t>E:\G空間情報センター\12千葉県\47千葉南部森林計画区\第9系</t>
  </si>
  <si>
    <t>E:\G空間情報センター\13東京都\48多摩森林計画区\第9系</t>
  </si>
  <si>
    <t>E:\G空間情報センター\13東京都\49伊豆諸島森林計画区\第14系</t>
  </si>
  <si>
    <t>E:\G空間情報センター\13東京都\49伊豆諸島森林計画区\第19系</t>
  </si>
  <si>
    <t>E:\G空間情報センター\13東京都\49伊豆諸島森林計画区\第9系</t>
  </si>
  <si>
    <t>E:\G空間情報センター\14神奈川県\50神奈川森林計画区\第9系</t>
  </si>
  <si>
    <t>E:\G空間情報センター\15新潟県\51下越森林計画区\第8系</t>
  </si>
  <si>
    <t>E:\G空間情報センター\15新潟県\52中越森林計画区\第8系</t>
  </si>
  <si>
    <t>E:\G空間情報センター\15新潟県\53上越森林計画区\第8系</t>
  </si>
  <si>
    <t>E:\G空間情報センター\15新潟県\54佐渡森林計画区\第8系</t>
  </si>
  <si>
    <t>E:\G空間情報センター\16富山県\55神通川森林計画区\第7系</t>
  </si>
  <si>
    <t>E:\G空間情報センター\16富山県\56庄川森林計画区\第7系</t>
  </si>
  <si>
    <t>E:\G空間情報センター\17石川県\57能登森林計画区\第7系</t>
  </si>
  <si>
    <t>E:\G空間情報センター\17石川県\58加賀森林計画区\第7系</t>
  </si>
  <si>
    <t>E:\G空間情報センター\18福井県\59越前森林計画区\第6系</t>
  </si>
  <si>
    <t>E:\G空間情報センター\18福井県\60若狭森林計画区\第6系</t>
  </si>
  <si>
    <t>E:\G空間情報センター\19山梨県\61山梨東部森林計画区\第8系</t>
  </si>
  <si>
    <t>E:\G空間情報センター\19山梨県\62富士川上流森林計画区\第8系</t>
  </si>
  <si>
    <t>E:\G空間情報センター\19山梨県\63富士川中流森林計画区\第8系</t>
  </si>
  <si>
    <t>E:\G空間情報センター\20長野県\64千曲川下流森林計画区\第8系</t>
  </si>
  <si>
    <t>E:\G空間情報センター\20長野県\65中部山岳森林計画区\第8系</t>
  </si>
  <si>
    <t>E:\G空間情報センター\20長野県\66千曲川上流森林計画区\第8系</t>
  </si>
  <si>
    <t>E:\G空間情報センター\20長野県\67伊那谷森林計画区\第8系</t>
  </si>
  <si>
    <t>E:\G空間情報センター\20長野県\68木曽谷森林計画区\第8系</t>
  </si>
  <si>
    <t>E:\G空間情報センター\21岐阜県\69宮・庄川森林計画区\第7系</t>
  </si>
  <si>
    <t>E:\G空間情報センター\21岐阜県\70飛騨川森林計画区\第7系</t>
  </si>
  <si>
    <t>E:\G空間情報センター\21岐阜県\71長良川森林計画区\第7系</t>
  </si>
  <si>
    <t>E:\G空間情報センター\21岐阜県\72揖斐川森林計画区\第7系</t>
  </si>
  <si>
    <t>E:\G空間情報センター\21岐阜県\73木曽川森林計画区\第7系</t>
  </si>
  <si>
    <t>E:\G空間情報センター\22静岡県\74静岡森林計画区\第8系</t>
  </si>
  <si>
    <t>E:\G空間情報センター\22静岡県\75富士森林計画区\第8系</t>
  </si>
  <si>
    <t>E:\G空間情報センター\22静岡県\76伊豆森林計画区\第8系</t>
  </si>
  <si>
    <t>E:\G空間情報センター\22静岡県\77天竜森林計画区\第8系</t>
  </si>
  <si>
    <t>E:\G空間情報センター\23愛知県\78尾張西三河森林計画区\第7系</t>
  </si>
  <si>
    <t>E:\G空間情報センター\23愛知県\79東三河森林計画区\第7系</t>
  </si>
  <si>
    <t>E:\G空間情報センター\24三重県\80伊賀森林計画区\第6系</t>
  </si>
  <si>
    <t>E:\G空間情報センター\24三重県\81北伊勢森林計画区\第6系</t>
  </si>
  <si>
    <t>E:\G空間情報センター\24三重県\82南伊勢森林計画区\第6系</t>
  </si>
  <si>
    <t>E:\G空間情報センター\24三重県\83尾鷲熊野森林計画区\第6系</t>
  </si>
  <si>
    <t>E:\G空間情報センター\25滋賀県\84湖北森林計画区\第6系</t>
  </si>
  <si>
    <t>E:\G空間情報センター\25滋賀県\85湖南森林計画区\第6系</t>
  </si>
  <si>
    <t>E:\G空間情報センター\26京都府\86由良川森林計画区\第6系</t>
  </si>
  <si>
    <t>E:\G空間情報センター\26京都府\87淀川上流森林計画区\第6系</t>
  </si>
  <si>
    <t>E:\G空間情報センター\27大阪府\88大阪森林計画区\第6系</t>
  </si>
  <si>
    <t>E:\G空間情報センター\28兵庫県\89加古川森林計画区\第5系</t>
  </si>
  <si>
    <t>E:\G空間情報センター\28兵庫県\90揖保川森林計画区\第5系</t>
  </si>
  <si>
    <t>E:\G空間情報センター\28兵庫県\91円山川森林計画区\第5系</t>
  </si>
  <si>
    <t>E:\G空間情報センター\29奈良県\92大和・木津川森林計画区\第6系</t>
  </si>
  <si>
    <t>E:\G空間情報センター\29奈良県\93北山・十津川森林計画区\第6系</t>
  </si>
  <si>
    <t>E:\G空間情報センター\29奈良県\94吉野森林計画区\第6系</t>
  </si>
  <si>
    <t>E:\G空間情報センター\30和歌山県\95紀南森林計画区\第6系</t>
  </si>
  <si>
    <t>E:\G空間情報センター\30和歌山県\96紀北森林計画区\第6系</t>
  </si>
  <si>
    <t>E:\G空間情報センター\30和歌山県\97紀中森林計画区\第6系</t>
  </si>
  <si>
    <t>E:\G空間情報センター\31鳥取県\100千代川森林計画区\第5系</t>
  </si>
  <si>
    <t>E:\G空間情報センター\31鳥取県\98日野川森林計画区\第5系</t>
  </si>
  <si>
    <t>E:\G空間情報センター\31鳥取県\99天神川森林計画区\第5系</t>
  </si>
  <si>
    <t>E:\G空間情報センター\32島根県\101江の川下流森林計画区\第3系</t>
  </si>
  <si>
    <t>E:\G空間情報センター\32島根県\102斐伊川森林計画区\第3系</t>
  </si>
  <si>
    <t>E:\G空間情報センター\32島根県\103隠岐森林計画区\第3系</t>
  </si>
  <si>
    <t>E:\G空間情報センター\32島根県\104高津川森林計画区\第3系</t>
  </si>
  <si>
    <t>E:\G空間情報センター\33岡山県\105高梁川下流森林計画区\第5系</t>
  </si>
  <si>
    <t>E:\G空間情報センター\33岡山県\106旭川森林計画区\第5系</t>
  </si>
  <si>
    <t>E:\G空間情報センター\33岡山県\107吉井川森林計画区\第5系</t>
  </si>
  <si>
    <t>E:\G空間情報センター\34広島県\108高梁川上流森林計画区\第3系</t>
  </si>
  <si>
    <t>E:\G空間情報センター\34広島県\109江の川上流森林計画区\第3系</t>
  </si>
  <si>
    <t>E:\G空間情報センター\34広島県\110太田川森林計画区\第3系</t>
  </si>
  <si>
    <t>E:\G空間情報センター\34広島県\111瀬戸内森林計画区\第3系</t>
  </si>
  <si>
    <t>E:\G空間情報センター\35山口県\112山口森林計画区\第3系</t>
  </si>
  <si>
    <t>E:\G空間情報センター\35山口県\113岩徳森林計画区\第3系</t>
  </si>
  <si>
    <t>E:\G空間情報センター\35山口県\114豊田森林計画区\第3系</t>
  </si>
  <si>
    <t>E:\G空間情報センター\35山口県\115萩森林計画区\第3系</t>
  </si>
  <si>
    <t>E:\G空間情報センター\36徳島県\116吉野川森林計画区\第4系</t>
  </si>
  <si>
    <t>E:\G空間情報センター\36徳島県\117那賀・海部川森林計画区\第4系</t>
  </si>
  <si>
    <t>E:\G空間情報センター\37香川県\118香川森林計画区\第4系</t>
  </si>
  <si>
    <t>E:\G空間情報センター\38愛媛県\119今治松山森林計画区\第4系</t>
  </si>
  <si>
    <t>E:\G空間情報センター\38愛媛県\120東予森林計画区\第4系</t>
  </si>
  <si>
    <t>E:\G空間情報センター\38愛媛県\121肱川森林計画区\第4系</t>
  </si>
  <si>
    <t>E:\G空間情報センター\38愛媛県\122中予山岳森林計画区\第4系</t>
  </si>
  <si>
    <t>E:\G空間情報センター\38愛媛県\123南予森林計画区\第4系</t>
  </si>
  <si>
    <t>E:\G空間情報センター\39高知県\124嶺北仁淀森林計画区\第4系</t>
  </si>
  <si>
    <t>E:\G空間情報センター\39高知県\125四万十川森林計画区\第4系</t>
  </si>
  <si>
    <t>E:\G空間情報センター\39高知県\126高知森林計画区\第4系</t>
  </si>
  <si>
    <t>E:\G空間情報センター\39高知県\127安芸森林計画区\第4系</t>
  </si>
  <si>
    <t>E:\G空間情報センター\40福岡県\128遠賀川森林計画区\第2系</t>
  </si>
  <si>
    <t>E:\G空間情報センター\40福岡県\129福岡森林計画区\第2系</t>
  </si>
  <si>
    <t>E:\G空間情報センター\40福岡県\130筑後・矢部川森林計画区\第2系</t>
  </si>
  <si>
    <t>E:\G空間情報センター\41佐賀県\131佐賀東部森林計画区\第2系</t>
  </si>
  <si>
    <t>E:\G空間情報センター\41佐賀県\132佐賀西部森林計画区\第2系</t>
  </si>
  <si>
    <t>E:\G空間情報センター\42長崎県\133長崎北部森林計画区\第1系</t>
  </si>
  <si>
    <t>E:\G空間情報センター\42長崎県\134長崎南部森林計画区\第1系</t>
  </si>
  <si>
    <t>E:\G空間情報センター\42長崎県\135五島壱岐森林計画区\第1系</t>
  </si>
  <si>
    <t>E:\G空間情報センター\42長崎県\136対馬森林計画区\第1系</t>
  </si>
  <si>
    <t>E:\G空間情報センター\43熊本県\137白川・菊池川森林計画区\第2系</t>
  </si>
  <si>
    <t>E:\G空間情報センター\43熊本県\138緑川森林計画区\第2系</t>
  </si>
  <si>
    <t>E:\G空間情報センター\43熊本県\139球磨川森林計画区\第2系</t>
  </si>
  <si>
    <t>E:\G空間情報センター\43熊本県\140天草森林計画区\第2系</t>
  </si>
  <si>
    <t>E:\G空間情報センター\44大分県\141大分北部森林計画区\第2系</t>
  </si>
  <si>
    <t>E:\G空間情報センター\44大分県\142大分中部森林計画区\第2系</t>
  </si>
  <si>
    <t>E:\G空間情報センター\44大分県\143大分南部森林計画区\第2系</t>
  </si>
  <si>
    <t>E:\G空間情報センター\44大分県\144大分西部森林計画区\第2系</t>
  </si>
  <si>
    <t>E:\G空間情報センター\45宮崎県\145五ヶ瀬川森林計画区\第2系</t>
  </si>
  <si>
    <t>E:\G空間情報センター\45宮崎県\146耳川森林計画区\第2系</t>
  </si>
  <si>
    <t>E:\G空間情報センター\45宮崎県\147一ツ瀬川森林計画区\第2系</t>
  </si>
  <si>
    <t>E:\G空間情報センター\45宮崎県\148大淀川森林計画区\第2系</t>
  </si>
  <si>
    <t>E:\G空間情報センター\45宮崎県\149広渡川森林計画区\第2系</t>
  </si>
  <si>
    <t>E:\G空間情報センター\46鹿児島県\150北薩森林計画区\第2系</t>
  </si>
  <si>
    <t>E:\G空間情報センター\46鹿児島県\151姶良森林計画区\第2系</t>
  </si>
  <si>
    <t>E:\G空間情報センター\46鹿児島県\152南薩森林計画区\第2系</t>
  </si>
  <si>
    <t>E:\G空間情報センター\46鹿児島県\153大隅森林計画区\第2系</t>
  </si>
  <si>
    <t>E:\G空間情報センター\46鹿児島県\154熊毛森林計画区\第2系</t>
  </si>
  <si>
    <t>E:\G空間情報センター\46鹿児島県\155奄美大島森林計画区\第1系</t>
  </si>
  <si>
    <t>E:\G空間情報センター\47沖縄県\156沖縄北部森林計画区\第15系</t>
  </si>
  <si>
    <t>E:\G空間情報センター\47沖縄県\157沖縄中南部森林計画区\第15系</t>
  </si>
  <si>
    <t>E:\G空間情報センター\47沖縄県\158宮古八重山森林計画区\第16系</t>
  </si>
  <si>
    <t>フォルダパス</t>
    <phoneticPr fontId="1"/>
  </si>
  <si>
    <t>E:\G空間情報センター\47沖縄県\158宮古八重山森林計画区\第16系</t>
    <phoneticPr fontId="1"/>
  </si>
  <si>
    <t>Ver.0.9</t>
    <phoneticPr fontId="1"/>
  </si>
  <si>
    <t>バッチファイル名・出力フォルダ名の命名規則を改良</t>
    <rPh sb="7" eb="8">
      <t>メイ</t>
    </rPh>
    <rPh sb="9" eb="11">
      <t>シュツリョク</t>
    </rPh>
    <rPh sb="15" eb="16">
      <t>メイ</t>
    </rPh>
    <rPh sb="17" eb="19">
      <t>メイメイ</t>
    </rPh>
    <rPh sb="19" eb="21">
      <t>キソク</t>
    </rPh>
    <rPh sb="22" eb="24">
      <t>カイリョウ</t>
    </rPh>
    <phoneticPr fontId="1"/>
  </si>
  <si>
    <t>Ver.1.0</t>
    <phoneticPr fontId="1"/>
  </si>
  <si>
    <t>FlatGeobuf出力に対応</t>
    <rPh sb="10" eb="12">
      <t>シュツリョク</t>
    </rPh>
    <rPh sb="13" eb="15">
      <t>タイオウ</t>
    </rPh>
    <phoneticPr fontId="1"/>
  </si>
  <si>
    <t>■今後の課題</t>
    <rPh sb="1" eb="3">
      <t>コンゴ</t>
    </rPh>
    <rPh sb="4" eb="6">
      <t>カダイ</t>
    </rPh>
    <phoneticPr fontId="1"/>
  </si>
  <si>
    <t>境界</t>
  </si>
  <si>
    <t>{"PARAMETERS": {"2": "'E:/G\u7a7a\u9593\u60c5\u5831\u30bb\u30f3\u30bf\u30fc/01\u5317\u6d77\u9053/01\u6e21\u5cf6\u6a9c\u5c71\u68ee\u6797\u8a08\u753b\u533a/\u7b2c11\u7cfb/\u5883\u754c.shp'", "crsjgd2000": "QgsCoordinateReferenceSystem('EPSG:2453')"}, "OUTPUTS": {"": "E:/G\u7a7a\u9593\u60c5\u5831\u30bb\u30f3\u30bf\u30fc/01\u5317\u6d77\u9053/01\u6e21\u5cf6\u6a9c\u5c71\u68ee\u6797\u8a08\u753b\u533aTKY2JGD/\u7b2c11\u7cfb/\u5883\u754c.fgb"}}</t>
  </si>
  <si>
    <t>林班界</t>
  </si>
  <si>
    <t>{"PARAMETERS": {"2": "'E:/G\u7a7a\u9593\u60c5\u5831\u30bb\u30f3\u30bf\u30fc/01\u5317\u6d77\u9053/01\u6e21\u5cf6\u6a9c\u5c71\u68ee\u6797\u8a08\u753b\u533a/\u7b2c11\u7cfb/\u6797\u73ed\u754c.shp'", "crsjgd2000": "QgsCoordinateReferenceSystem('EPSG:2453')"}, "OUTPUTS": {"": "E:/G\u7a7a\u9593\u60c5\u5831\u30bb\u30f3\u30bf\u30fc/01\u5317\u6d77\u9053/01\u6e21\u5cf6\u6a9c\u5c71\u68ee\u6797\u8a08\u753b\u533aTKY2JGD/\u7b2c11\u7cfb/\u6797\u73ed\u754c.fgb"}}</t>
  </si>
  <si>
    <t>林班区画</t>
  </si>
  <si>
    <t>{"PARAMETERS": {"2": "'E:/G\u7a7a\u9593\u60c5\u5831\u30bb\u30f3\u30bf\u30fc/01\u5317\u6d77\u9053/01\u6e21\u5cf6\u6a9c\u5c71\u68ee\u6797\u8a08\u753b\u533a/\u7b2c11\u7cfb/\u6797\u73ed\u533a\u753b.shp'", "crsjgd2000": "QgsCoordinateReferenceSystem('EPSG:2453')"}, "OUTPUTS": {"": "E:/G\u7a7a\u9593\u60c5\u5831\u30bb\u30f3\u30bf\u30fc/01\u5317\u6d77\u9053/01\u6e21\u5cf6\u6a9c\u5c71\u68ee\u6797\u8a08\u753b\u533aTKY2JGD/\u7b2c11\u7cfb/\u6797\u73ed\u533a\u753b.fgb"}}</t>
  </si>
  <si>
    <t>小班界</t>
  </si>
  <si>
    <t>{"PARAMETERS": {"2": "'E:/G\u7a7a\u9593\u60c5\u5831\u30bb\u30f3\u30bf\u30fc/01\u5317\u6d77\u9053/01\u6e21\u5cf6\u6a9c\u5c71\u68ee\u6797\u8a08\u753b\u533a/\u7b2c11\u7cfb/\u5c0f\u73ed\u754c.shp'", "crsjgd2000": "QgsCoordinateReferenceSystem('EPSG:2453')"}, "OUTPUTS": {"": "E:/G\u7a7a\u9593\u60c5\u5831\u30bb\u30f3\u30bf\u30fc/01\u5317\u6d77\u9053/01\u6e21\u5cf6\u6a9c\u5c71\u68ee\u6797\u8a08\u753b\u533aTKY2JGD/\u7b2c11\u7cfb/\u5c0f\u73ed\u754c.fgb"}}</t>
  </si>
  <si>
    <t>小班区画</t>
  </si>
  <si>
    <t>{"PARAMETERS": {"2": "'E:/G\u7a7a\u9593\u60c5\u5831\u30bb\u30f3\u30bf\u30fc/01\u5317\u6d77\u9053/01\u6e21\u5cf6\u6a9c\u5c71\u68ee\u6797\u8a08\u753b\u533a/\u7b2c11\u7cfb/\u5c0f\u73ed\u533a\u753b.shp'", "crsjgd2000": "QgsCoordinateReferenceSystem('EPSG:2453')"}, "OUTPUTS": {"": "E:/G\u7a7a\u9593\u60c5\u5831\u30bb\u30f3\u30bf\u30fc/01\u5317\u6d77\u9053/01\u6e21\u5cf6\u6a9c\u5c71\u68ee\u6797\u8a08\u753b\u533aTKY2JGD/\u7b2c11\u7cfb/\u5c0f\u73ed\u533a\u753b.fgb"}}</t>
  </si>
  <si>
    <t>林道</t>
  </si>
  <si>
    <t>{"PARAMETERS": {"2": "'E:/G\u7a7a\u9593\u60c5\u5831\u30bb\u30f3\u30bf\u30fc/01\u5317\u6d77\u9053/01\u6e21\u5cf6\u6a9c\u5c71\u68ee\u6797\u8a08\u753b\u533a/\u7b2c11\u7cfb/\u6797\u9053.shp'", "crsjgd2000": "QgsCoordinateReferenceSystem('EPSG:2453')"}, "OUTPUTS": {"": "E:/G\u7a7a\u9593\u60c5\u5831\u30bb\u30f3\u30bf\u30fc/01\u5317\u6d77\u9053/01\u6e21\u5cf6\u6a9c\u5c71\u68ee\u6797\u8a08\u753b\u533aTKY2JGD/\u7b2c11\u7cfb/\u6797\u9053.fgb"}}</t>
  </si>
  <si>
    <t>作業道</t>
  </si>
  <si>
    <t>{"PARAMETERS": {"2": "'E:/G\u7a7a\u9593\u60c5\u5831\u30bb\u30f3\u30bf\u30fc/01\u5317\u6d77\u9053/01\u6e21\u5cf6\u6a9c\u5c71\u68ee\u6797\u8a08\u753b\u533a/\u7b2c11\u7cfb/\u4f5c\u696d\u9053.shp'", "crsjgd2000": "QgsCoordinateReferenceSystem('EPSG:2453')"}, "OUTPUTS": {"": "E:/G\u7a7a\u9593\u60c5\u5831\u30bb\u30f3\u30bf\u30fc/01\u5317\u6d77\u9053/01\u6e21\u5cf6\u6a9c\u5c71\u68ee\u6797\u8a08\u753b\u533aTKY2JGD/\u7b2c11\u7cfb/\u4f5c\u696d\u9053.fgb"}}</t>
  </si>
  <si>
    <t>等高線10m間隔</t>
  </si>
  <si>
    <t>{"PARAMETERS": {"2": "'E:/G\u7a7a\u9593\u60c5\u5831\u30bb\u30f3\u30bf\u30fc/01\u5317\u6d77\u9053/01\u6e21\u5cf6\u6a9c\u5c71\u68ee\u6797\u8a08\u753b\u533a/\u7b2c11\u7cfb/\u7b49\u9ad8\u7dda10m\u9593\u9694.shp'", "crsjgd2000": "QgsCoordinateReferenceSystem('EPSG:2453')"}, "OUTPUTS": {"": "E:/G\u7a7a\u9593\u60c5\u5831\u30bb\u30f3\u30bf\u30fc/01\u5317\u6d77\u9053/01\u6e21\u5cf6\u6a9c\u5c71\u68ee\u6797\u8a08\u753b\u533aTKY2JGD/\u7b2c11\u7cfb/\u7b49\u9ad8\u7dda10m\u9593\u9694.fgb"}}</t>
  </si>
  <si>
    <t>{"PARAMETERS": {"2": "'E:/G\u7a7a\u9593\u60c5\u5831\u30bb\u30f3\u30bf\u30fc/01\u5317\u6d77\u9053/02\u5f8c\u5fd7\u80c6\u632f\u68ee\u6797\u8a08\u753b\u533a/\u7b2c11\u7cfb/\u5883\u754c.shp'", "crsjgd2000": "QgsCoordinateReferenceSystem('EPSG:2453')"}, "OUTPUTS": {"": "E:/G\u7a7a\u9593\u60c5\u5831\u30bb\u30f3\u30bf\u30fc/01\u5317\u6d77\u9053/02\u5f8c\u5fd7\u80c6\u632f\u68ee\u6797\u8a08\u753b\u533aTKY2JGD/\u7b2c11\u7cfb/\u5883\u754c.fgb"}}</t>
  </si>
  <si>
    <t>{"PARAMETERS": {"2": "'E:/G\u7a7a\u9593\u60c5\u5831\u30bb\u30f3\u30bf\u30fc/01\u5317\u6d77\u9053/02\u5f8c\u5fd7\u80c6\u632f\u68ee\u6797\u8a08\u753b\u533a/\u7b2c11\u7cfb/\u6797\u73ed\u754c.shp'", "crsjgd2000": "QgsCoordinateReferenceSystem('EPSG:2453')"}, "OUTPUTS": {"": "E:/G\u7a7a\u9593\u60c5\u5831\u30bb\u30f3\u30bf\u30fc/01\u5317\u6d77\u9053/02\u5f8c\u5fd7\u80c6\u632f\u68ee\u6797\u8a08\u753b\u533aTKY2JGD/\u7b2c11\u7cfb/\u6797\u73ed\u754c.fgb"}}</t>
  </si>
  <si>
    <t>{"PARAMETERS": {"2": "'E:/G\u7a7a\u9593\u60c5\u5831\u30bb\u30f3\u30bf\u30fc/01\u5317\u6d77\u9053/02\u5f8c\u5fd7\u80c6\u632f\u68ee\u6797\u8a08\u753b\u533a/\u7b2c11\u7cfb/\u6797\u73ed\u533a\u753b.shp'", "crsjgd2000": "QgsCoordinateReferenceSystem('EPSG:2453')"}, "OUTPUTS": {"": "E:/G\u7a7a\u9593\u60c5\u5831\u30bb\u30f3\u30bf\u30fc/01\u5317\u6d77\u9053/02\u5f8c\u5fd7\u80c6\u632f\u68ee\u6797\u8a08\u753b\u533aTKY2JGD/\u7b2c11\u7cfb/\u6797\u73ed\u533a\u753b.fgb"}}</t>
  </si>
  <si>
    <t>{"PARAMETERS": {"2": "'E:/G\u7a7a\u9593\u60c5\u5831\u30bb\u30f3\u30bf\u30fc/01\u5317\u6d77\u9053/02\u5f8c\u5fd7\u80c6\u632f\u68ee\u6797\u8a08\u753b\u533a/\u7b2c11\u7cfb/\u5c0f\u73ed\u754c.shp'", "crsjgd2000": "QgsCoordinateReferenceSystem('EPSG:2453')"}, "OUTPUTS": {"": "E:/G\u7a7a\u9593\u60c5\u5831\u30bb\u30f3\u30bf\u30fc/01\u5317\u6d77\u9053/02\u5f8c\u5fd7\u80c6\u632f\u68ee\u6797\u8a08\u753b\u533aTKY2JGD/\u7b2c11\u7cfb/\u5c0f\u73ed\u754c.fgb"}}</t>
  </si>
  <si>
    <t>{"PARAMETERS": {"2": "'E:/G\u7a7a\u9593\u60c5\u5831\u30bb\u30f3\u30bf\u30fc/01\u5317\u6d77\u9053/02\u5f8c\u5fd7\u80c6\u632f\u68ee\u6797\u8a08\u753b\u533a/\u7b2c11\u7cfb/\u5c0f\u73ed\u533a\u753b.shp'", "crsjgd2000": "QgsCoordinateReferenceSystem('EPSG:2453')"}, "OUTPUTS": {"": "E:/G\u7a7a\u9593\u60c5\u5831\u30bb\u30f3\u30bf\u30fc/01\u5317\u6d77\u9053/02\u5f8c\u5fd7\u80c6\u632f\u68ee\u6797\u8a08\u753b\u533aTKY2JGD/\u7b2c11\u7cfb/\u5c0f\u73ed\u533a\u753b.fgb"}}</t>
  </si>
  <si>
    <t>{"PARAMETERS": {"2": "'E:/G\u7a7a\u9593\u60c5\u5831\u30bb\u30f3\u30bf\u30fc/01\u5317\u6d77\u9053/02\u5f8c\u5fd7\u80c6\u632f\u68ee\u6797\u8a08\u753b\u533a/\u7b2c11\u7cfb/\u6797\u9053.shp'", "crsjgd2000": "QgsCoordinateReferenceSystem('EPSG:2453')"}, "OUTPUTS": {"": "E:/G\u7a7a\u9593\u60c5\u5831\u30bb\u30f3\u30bf\u30fc/01\u5317\u6d77\u9053/02\u5f8c\u5fd7\u80c6\u632f\u68ee\u6797\u8a08\u753b\u533aTKY2JGD/\u7b2c11\u7cfb/\u6797\u9053.fgb"}}</t>
  </si>
  <si>
    <t>{"PARAMETERS": {"2": "'E:/G\u7a7a\u9593\u60c5\u5831\u30bb\u30f3\u30bf\u30fc/01\u5317\u6d77\u9053/02\u5f8c\u5fd7\u80c6\u632f\u68ee\u6797\u8a08\u753b\u533a/\u7b2c11\u7cfb/\u4f5c\u696d\u9053.shp'", "crsjgd2000": "QgsCoordinateReferenceSystem('EPSG:2453')"}, "OUTPUTS": {"": "E:/G\u7a7a\u9593\u60c5\u5831\u30bb\u30f3\u30bf\u30fc/01\u5317\u6d77\u9053/02\u5f8c\u5fd7\u80c6\u632f\u68ee\u6797\u8a08\u753b\u533aTKY2JGD/\u7b2c11\u7cfb/\u4f5c\u696d\u9053.fgb"}}</t>
  </si>
  <si>
    <t>{"PARAMETERS": {"2": "'E:/G\u7a7a\u9593\u60c5\u5831\u30bb\u30f3\u30bf\u30fc/01\u5317\u6d77\u9053/02\u5f8c\u5fd7\u80c6\u632f\u68ee\u6797\u8a08\u753b\u533a/\u7b2c11\u7cfb/\u7b49\u9ad8\u7dda10m\u9593\u9694.shp'", "crsjgd2000": "QgsCoordinateReferenceSystem('EPSG:2453')"}, "OUTPUTS": {"": "E:/G\u7a7a\u9593\u60c5\u5831\u30bb\u30f3\u30bf\u30fc/01\u5317\u6d77\u9053/02\u5f8c\u5fd7\u80c6\u632f\u68ee\u6797\u8a08\u753b\u533aTKY2JGD/\u7b2c11\u7cfb/\u7b49\u9ad8\u7dda10m\u9593\u9694.fgb"}}</t>
  </si>
  <si>
    <t>{"PARAMETERS": {"2": "'E:/G\u7a7a\u9593\u60c5\u5831\u30bb\u30f3\u30bf\u30fc/01\u5317\u6d77\u9053/05\u77f3\u72e9\u7a7a\u77e5\u68ee\u6797\u8a08\u753b\u533a/\u7b2c11\u7cfb/\u5883\u754c.shp'", "crsjgd2000": "QgsCoordinateReferenceSystem('EPSG:2453')"}, "OUTPUTS": {"": "E:/G\u7a7a\u9593\u60c5\u5831\u30bb\u30f3\u30bf\u30fc/01\u5317\u6d77\u9053/05\u77f3\u72e9\u7a7a\u77e5\u68ee\u6797\u8a08\u753b\u533aTKY2JGD/\u7b2c11\u7cfb/\u5883\u754c.fgb"}}</t>
  </si>
  <si>
    <t>{"PARAMETERS": {"2": "'E:/G\u7a7a\u9593\u60c5\u5831\u30bb\u30f3\u30bf\u30fc/01\u5317\u6d77\u9053/05\u77f3\u72e9\u7a7a\u77e5\u68ee\u6797\u8a08\u753b\u533a/\u7b2c11\u7cfb/\u6797\u73ed\u754c.shp'", "crsjgd2000": "QgsCoordinateReferenceSystem('EPSG:2453')"}, "OUTPUTS": {"": "E:/G\u7a7a\u9593\u60c5\u5831\u30bb\u30f3\u30bf\u30fc/01\u5317\u6d77\u9053/05\u77f3\u72e9\u7a7a\u77e5\u68ee\u6797\u8a08\u753b\u533aTKY2JGD/\u7b2c11\u7cfb/\u6797\u73ed\u754c.fgb"}}</t>
  </si>
  <si>
    <t>{"PARAMETERS": {"2": "'E:/G\u7a7a\u9593\u60c5\u5831\u30bb\u30f3\u30bf\u30fc/01\u5317\u6d77\u9053/05\u77f3\u72e9\u7a7a\u77e5\u68ee\u6797\u8a08\u753b\u533a/\u7b2c11\u7cfb/\u6797\u73ed\u533a\u753b.shp'", "crsjgd2000": "QgsCoordinateReferenceSystem('EPSG:2453')"}, "OUTPUTS": {"": "E:/G\u7a7a\u9593\u60c5\u5831\u30bb\u30f3\u30bf\u30fc/01\u5317\u6d77\u9053/05\u77f3\u72e9\u7a7a\u77e5\u68ee\u6797\u8a08\u753b\u533aTKY2JGD/\u7b2c11\u7cfb/\u6797\u73ed\u533a\u753b.fgb"}}</t>
  </si>
  <si>
    <t>{"PARAMETERS": {"2": "'E:/G\u7a7a\u9593\u60c5\u5831\u30bb\u30f3\u30bf\u30fc/01\u5317\u6d77\u9053/05\u77f3\u72e9\u7a7a\u77e5\u68ee\u6797\u8a08\u753b\u533a/\u7b2c11\u7cfb/\u5c0f\u73ed\u754c.shp'", "crsjgd2000": "QgsCoordinateReferenceSystem('EPSG:2453')"}, "OUTPUTS": {"": "E:/G\u7a7a\u9593\u60c5\u5831\u30bb\u30f3\u30bf\u30fc/01\u5317\u6d77\u9053/05\u77f3\u72e9\u7a7a\u77e5\u68ee\u6797\u8a08\u753b\u533aTKY2JGD/\u7b2c11\u7cfb/\u5c0f\u73ed\u754c.fgb"}}</t>
  </si>
  <si>
    <t>{"PARAMETERS": {"2": "'E:/G\u7a7a\u9593\u60c5\u5831\u30bb\u30f3\u30bf\u30fc/01\u5317\u6d77\u9053/05\u77f3\u72e9\u7a7a\u77e5\u68ee\u6797\u8a08\u753b\u533a/\u7b2c11\u7cfb/\u5c0f\u73ed\u533a\u753b.shp'", "crsjgd2000": "QgsCoordinateReferenceSystem('EPSG:2453')"}, "OUTPUTS": {"": "E:/G\u7a7a\u9593\u60c5\u5831\u30bb\u30f3\u30bf\u30fc/01\u5317\u6d77\u9053/05\u77f3\u72e9\u7a7a\u77e5\u68ee\u6797\u8a08\u753b\u533aTKY2JGD/\u7b2c11\u7cfb/\u5c0f\u73ed\u533a\u753b.fgb"}}</t>
  </si>
  <si>
    <t>{"PARAMETERS": {"2": "'E:/G\u7a7a\u9593\u60c5\u5831\u30bb\u30f3\u30bf\u30fc/01\u5317\u6d77\u9053/05\u77f3\u72e9\u7a7a\u77e5\u68ee\u6797\u8a08\u753b\u533a/\u7b2c11\u7cfb/\u6797\u9053.shp'", "crsjgd2000": "QgsCoordinateReferenceSystem('EPSG:2453')"}, "OUTPUTS": {"": "E:/G\u7a7a\u9593\u60c5\u5831\u30bb\u30f3\u30bf\u30fc/01\u5317\u6d77\u9053/05\u77f3\u72e9\u7a7a\u77e5\u68ee\u6797\u8a08\u753b\u533aTKY2JGD/\u7b2c11\u7cfb/\u6797\u9053.fgb"}}</t>
  </si>
  <si>
    <t>{"PARAMETERS": {"2": "'E:/G\u7a7a\u9593\u60c5\u5831\u30bb\u30f3\u30bf\u30fc/01\u5317\u6d77\u9053/05\u77f3\u72e9\u7a7a\u77e5\u68ee\u6797\u8a08\u753b\u533a/\u7b2c11\u7cfb/\u4f5c\u696d\u9053.shp'", "crsjgd2000": "QgsCoordinateReferenceSystem('EPSG:2453')"}, "OUTPUTS": {"": "E:/G\u7a7a\u9593\u60c5\u5831\u30bb\u30f3\u30bf\u30fc/01\u5317\u6d77\u9053/05\u77f3\u72e9\u7a7a\u77e5\u68ee\u6797\u8a08\u753b\u533aTKY2JGD/\u7b2c11\u7cfb/\u4f5c\u696d\u9053.fgb"}}</t>
  </si>
  <si>
    <t>{"PARAMETERS": {"2": "'E:/G\u7a7a\u9593\u60c5\u5831\u30bb\u30f3\u30bf\u30fc/01\u5317\u6d77\u9053/05\u77f3\u72e9\u7a7a\u77e5\u68ee\u6797\u8a08\u753b\u533a/\u7b2c11\u7cfb/\u7b49\u9ad8\u7dda10m\u9593\u9694.shp'", "crsjgd2000": "QgsCoordinateReferenceSystem('EPSG:2453')"}, "OUTPUTS": {"": "E:/G\u7a7a\u9593\u60c5\u5831\u30bb\u30f3\u30bf\u30fc/01\u5317\u6d77\u9053/05\u77f3\u72e9\u7a7a\u77e5\u68ee\u6797\u8a08\u753b\u533aTKY2JGD/\u7b2c11\u7cfb/\u7b49\u9ad8\u7dda10m\u9593\u9694.fgb"}}</t>
  </si>
  <si>
    <t>{"PARAMETERS": {"2": "'E:/G\u7a7a\u9593\u60c5\u5831\u30bb\u30f3\u30bf\u30fc/01\u5317\u6d77\u9053/02\u5f8c\u5fd7\u80c6\u632f\u68ee\u6797\u8a08\u753b\u533a/\u7b2c12\u7cfb/\u5883\u754c.shp'", "crsjgd2000": "QgsCoordinateReferenceSystem('EPSG:2454')"}, "OUTPUTS": {"": "E:/G\u7a7a\u9593\u60c5\u5831\u30bb\u30f3\u30bf\u30fc/01\u5317\u6d77\u9053/02\u5f8c\u5fd7\u80c6\u632f\u68ee\u6797\u8a08\u753b\u533aTKY2JGD/\u7b2c12\u7cfb/\u5883\u754c.fgb"}}</t>
  </si>
  <si>
    <t>{"PARAMETERS": {"2": "'E:/G\u7a7a\u9593\u60c5\u5831\u30bb\u30f3\u30bf\u30fc/01\u5317\u6d77\u9053/02\u5f8c\u5fd7\u80c6\u632f\u68ee\u6797\u8a08\u753b\u533a/\u7b2c12\u7cfb/\u6797\u73ed\u754c.shp'", "crsjgd2000": "QgsCoordinateReferenceSystem('EPSG:2454')"}, "OUTPUTS": {"": "E:/G\u7a7a\u9593\u60c5\u5831\u30bb\u30f3\u30bf\u30fc/01\u5317\u6d77\u9053/02\u5f8c\u5fd7\u80c6\u632f\u68ee\u6797\u8a08\u753b\u533aTKY2JGD/\u7b2c12\u7cfb/\u6797\u73ed\u754c.fgb"}}</t>
  </si>
  <si>
    <t>{"PARAMETERS": {"2": "'E:/G\u7a7a\u9593\u60c5\u5831\u30bb\u30f3\u30bf\u30fc/01\u5317\u6d77\u9053/02\u5f8c\u5fd7\u80c6\u632f\u68ee\u6797\u8a08\u753b\u533a/\u7b2c12\u7cfb/\u6797\u73ed\u533a\u753b.shp'", "crsjgd2000": "QgsCoordinateReferenceSystem('EPSG:2454')"}, "OUTPUTS": {"": "E:/G\u7a7a\u9593\u60c5\u5831\u30bb\u30f3\u30bf\u30fc/01\u5317\u6d77\u9053/02\u5f8c\u5fd7\u80c6\u632f\u68ee\u6797\u8a08\u753b\u533aTKY2JGD/\u7b2c12\u7cfb/\u6797\u73ed\u533a\u753b.fgb"}}</t>
  </si>
  <si>
    <t>{"PARAMETERS": {"2": "'E:/G\u7a7a\u9593\u60c5\u5831\u30bb\u30f3\u30bf\u30fc/01\u5317\u6d77\u9053/02\u5f8c\u5fd7\u80c6\u632f\u68ee\u6797\u8a08\u753b\u533a/\u7b2c12\u7cfb/\u5c0f\u73ed\u754c.shp'", "crsjgd2000": "QgsCoordinateReferenceSystem('EPSG:2454')"}, "OUTPUTS": {"": "E:/G\u7a7a\u9593\u60c5\u5831\u30bb\u30f3\u30bf\u30fc/01\u5317\u6d77\u9053/02\u5f8c\u5fd7\u80c6\u632f\u68ee\u6797\u8a08\u753b\u533aTKY2JGD/\u7b2c12\u7cfb/\u5c0f\u73ed\u754c.fgb"}}</t>
  </si>
  <si>
    <t>{"PARAMETERS": {"2": "'E:/G\u7a7a\u9593\u60c5\u5831\u30bb\u30f3\u30bf\u30fc/01\u5317\u6d77\u9053/02\u5f8c\u5fd7\u80c6\u632f\u68ee\u6797\u8a08\u753b\u533a/\u7b2c12\u7cfb/\u5c0f\u73ed\u533a\u753b.shp'", "crsjgd2000": "QgsCoordinateReferenceSystem('EPSG:2454')"}, "OUTPUTS": {"": "E:/G\u7a7a\u9593\u60c5\u5831\u30bb\u30f3\u30bf\u30fc/01\u5317\u6d77\u9053/02\u5f8c\u5fd7\u80c6\u632f\u68ee\u6797\u8a08\u753b\u533aTKY2JGD/\u7b2c12\u7cfb/\u5c0f\u73ed\u533a\u753b.fgb"}}</t>
  </si>
  <si>
    <t>{"PARAMETERS": {"2": "'E:/G\u7a7a\u9593\u60c5\u5831\u30bb\u30f3\u30bf\u30fc/01\u5317\u6d77\u9053/02\u5f8c\u5fd7\u80c6\u632f\u68ee\u6797\u8a08\u753b\u533a/\u7b2c12\u7cfb/\u6797\u9053.shp'", "crsjgd2000": "QgsCoordinateReferenceSystem('EPSG:2454')"}, "OUTPUTS": {"": "E:/G\u7a7a\u9593\u60c5\u5831\u30bb\u30f3\u30bf\u30fc/01\u5317\u6d77\u9053/02\u5f8c\u5fd7\u80c6\u632f\u68ee\u6797\u8a08\u753b\u533aTKY2JGD/\u7b2c12\u7cfb/\u6797\u9053.fgb"}}</t>
  </si>
  <si>
    <t>{"PARAMETERS": {"2": "'E:/G\u7a7a\u9593\u60c5\u5831\u30bb\u30f3\u30bf\u30fc/01\u5317\u6d77\u9053/02\u5f8c\u5fd7\u80c6\u632f\u68ee\u6797\u8a08\u753b\u533a/\u7b2c12\u7cfb/\u4f5c\u696d\u9053.shp'", "crsjgd2000": "QgsCoordinateReferenceSystem('EPSG:2454')"}, "OUTPUTS": {"": "E:/G\u7a7a\u9593\u60c5\u5831\u30bb\u30f3\u30bf\u30fc/01\u5317\u6d77\u9053/02\u5f8c\u5fd7\u80c6\u632f\u68ee\u6797\u8a08\u753b\u533aTKY2JGD/\u7b2c12\u7cfb/\u4f5c\u696d\u9053.fgb"}}</t>
  </si>
  <si>
    <t>{"PARAMETERS": {"2": "'E:/G\u7a7a\u9593\u60c5\u5831\u30bb\u30f3\u30bf\u30fc/01\u5317\u6d77\u9053/02\u5f8c\u5fd7\u80c6\u632f\u68ee\u6797\u8a08\u753b\u533a/\u7b2c12\u7cfb/\u7b49\u9ad8\u7dda10m\u9593\u9694.shp'", "crsjgd2000": "QgsCoordinateReferenceSystem('EPSG:2454')"}, "OUTPUTS": {"": "E:/G\u7a7a\u9593\u60c5\u5831\u30bb\u30f3\u30bf\u30fc/01\u5317\u6d77\u9053/02\u5f8c\u5fd7\u80c6\u632f\u68ee\u6797\u8a08\u753b\u533aTKY2JGD/\u7b2c12\u7cfb/\u7b49\u9ad8\u7dda10m\u9593\u9694.fgb"}}</t>
  </si>
  <si>
    <t>{"PARAMETERS": {"2": "'E:/G\u7a7a\u9593\u60c5\u5831\u30bb\u30f3\u30bf\u30fc/01\u5317\u6d77\u9053/03\u80c6\u632f\u6771\u90e8\u68ee\u6797\u8a08\u753b\u533a/\u7b2c12\u7cfb/\u5883\u754c.shp'", "crsjgd2000": "QgsCoordinateReferenceSystem('EPSG:2454')"}, "OUTPUTS": {"": "E:/G\u7a7a\u9593\u60c5\u5831\u30bb\u30f3\u30bf\u30fc/01\u5317\u6d77\u9053/03\u80c6\u632f\u6771\u90e8\u68ee\u6797\u8a08\u753b\u533aTKY2JGD/\u7b2c12\u7cfb/\u5883\u754c.fgb"}}</t>
  </si>
  <si>
    <t>{"PARAMETERS": {"2": "'E:/G\u7a7a\u9593\u60c5\u5831\u30bb\u30f3\u30bf\u30fc/01\u5317\u6d77\u9053/03\u80c6\u632f\u6771\u90e8\u68ee\u6797\u8a08\u753b\u533a/\u7b2c12\u7cfb/\u6797\u73ed\u754c.shp'", "crsjgd2000": "QgsCoordinateReferenceSystem('EPSG:2454')"}, "OUTPUTS": {"": "E:/G\u7a7a\u9593\u60c5\u5831\u30bb\u30f3\u30bf\u30fc/01\u5317\u6d77\u9053/03\u80c6\u632f\u6771\u90e8\u68ee\u6797\u8a08\u753b\u533aTKY2JGD/\u7b2c12\u7cfb/\u6797\u73ed\u754c.fgb"}}</t>
  </si>
  <si>
    <t>{"PARAMETERS": {"2": "'E:/G\u7a7a\u9593\u60c5\u5831\u30bb\u30f3\u30bf\u30fc/01\u5317\u6d77\u9053/03\u80c6\u632f\u6771\u90e8\u68ee\u6797\u8a08\u753b\u533a/\u7b2c12\u7cfb/\u6797\u73ed\u533a\u753b.shp'", "crsjgd2000": "QgsCoordinateReferenceSystem('EPSG:2454')"}, "OUTPUTS": {"": "E:/G\u7a7a\u9593\u60c5\u5831\u30bb\u30f3\u30bf\u30fc/01\u5317\u6d77\u9053/03\u80c6\u632f\u6771\u90e8\u68ee\u6797\u8a08\u753b\u533aTKY2JGD/\u7b2c12\u7cfb/\u6797\u73ed\u533a\u753b.fgb"}}</t>
  </si>
  <si>
    <t>{"PARAMETERS": {"2": "'E:/G\u7a7a\u9593\u60c5\u5831\u30bb\u30f3\u30bf\u30fc/01\u5317\u6d77\u9053/03\u80c6\u632f\u6771\u90e8\u68ee\u6797\u8a08\u753b\u533a/\u7b2c12\u7cfb/\u5c0f\u73ed\u754c.shp'", "crsjgd2000": "QgsCoordinateReferenceSystem('EPSG:2454')"}, "OUTPUTS": {"": "E:/G\u7a7a\u9593\u60c5\u5831\u30bb\u30f3\u30bf\u30fc/01\u5317\u6d77\u9053/03\u80c6\u632f\u6771\u90e8\u68ee\u6797\u8a08\u753b\u533aTKY2JGD/\u7b2c12\u7cfb/\u5c0f\u73ed\u754c.fgb"}}</t>
  </si>
  <si>
    <t>{"PARAMETERS": {"2": "'E:/G\u7a7a\u9593\u60c5\u5831\u30bb\u30f3\u30bf\u30fc/01\u5317\u6d77\u9053/03\u80c6\u632f\u6771\u90e8\u68ee\u6797\u8a08\u753b\u533a/\u7b2c12\u7cfb/\u5c0f\u73ed\u533a\u753b.shp'", "crsjgd2000": "QgsCoordinateReferenceSystem('EPSG:2454')"}, "OUTPUTS": {"": "E:/G\u7a7a\u9593\u60c5\u5831\u30bb\u30f3\u30bf\u30fc/01\u5317\u6d77\u9053/03\u80c6\u632f\u6771\u90e8\u68ee\u6797\u8a08\u753b\u533aTKY2JGD/\u7b2c12\u7cfb/\u5c0f\u73ed\u533a\u753b.fgb"}}</t>
  </si>
  <si>
    <t>{"PARAMETERS": {"2": "'E:/G\u7a7a\u9593\u60c5\u5831\u30bb\u30f3\u30bf\u30fc/01\u5317\u6d77\u9053/03\u80c6\u632f\u6771\u90e8\u68ee\u6797\u8a08\u753b\u533a/\u7b2c12\u7cfb/\u6797\u9053.shp'", "crsjgd2000": "QgsCoordinateReferenceSystem('EPSG:2454')"}, "OUTPUTS": {"": "E:/G\u7a7a\u9593\u60c5\u5831\u30bb\u30f3\u30bf\u30fc/01\u5317\u6d77\u9053/03\u80c6\u632f\u6771\u90e8\u68ee\u6797\u8a08\u753b\u533aTKY2JGD/\u7b2c12\u7cfb/\u6797\u9053.fgb"}}</t>
  </si>
  <si>
    <t>{"PARAMETERS": {"2": "'E:/G\u7a7a\u9593\u60c5\u5831\u30bb\u30f3\u30bf\u30fc/01\u5317\u6d77\u9053/03\u80c6\u632f\u6771\u90e8\u68ee\u6797\u8a08\u753b\u533a/\u7b2c12\u7cfb/\u4f5c\u696d\u9053.shp'", "crsjgd2000": "QgsCoordinateReferenceSystem('EPSG:2454')"}, "OUTPUTS": {"": "E:/G\u7a7a\u9593\u60c5\u5831\u30bb\u30f3\u30bf\u30fc/01\u5317\u6d77\u9053/03\u80c6\u632f\u6771\u90e8\u68ee\u6797\u8a08\u753b\u533aTKY2JGD/\u7b2c12\u7cfb/\u4f5c\u696d\u9053.fgb"}}</t>
  </si>
  <si>
    <t>{"PARAMETERS": {"2": "'E:/G\u7a7a\u9593\u60c5\u5831\u30bb\u30f3\u30bf\u30fc/01\u5317\u6d77\u9053/03\u80c6\u632f\u6771\u90e8\u68ee\u6797\u8a08\u753b\u533a/\u7b2c12\u7cfb/\u7b49\u9ad8\u7dda10m\u9593\u9694.shp'", "crsjgd2000": "QgsCoordinateReferenceSystem('EPSG:2454')"}, "OUTPUTS": {"": "E:/G\u7a7a\u9593\u60c5\u5831\u30bb\u30f3\u30bf\u30fc/01\u5317\u6d77\u9053/03\u80c6\u632f\u6771\u90e8\u68ee\u6797\u8a08\u753b\u533aTKY2JGD/\u7b2c12\u7cfb/\u7b49\u9ad8\u7dda10m\u9593\u9694.fgb"}}</t>
  </si>
  <si>
    <t>{"PARAMETERS": {"2": "'E:/G\u7a7a\u9593\u60c5\u5831\u30bb\u30f3\u30bf\u30fc/01\u5317\u6d77\u9053/04\u65e5\u9ad8\u68ee\u6797\u8a08\u753b\u533a/\u7b2c12\u7cfb/\u5883\u754c.shp'", "crsjgd2000": "QgsCoordinateReferenceSystem('EPSG:2454')"}, "OUTPUTS": {"": "E:/G\u7a7a\u9593\u60c5\u5831\u30bb\u30f3\u30bf\u30fc/01\u5317\u6d77\u9053/04\u65e5\u9ad8\u68ee\u6797\u8a08\u753b\u533aTKY2JGD/\u7b2c12\u7cfb/\u5883\u754c.fgb"}}</t>
  </si>
  <si>
    <t>{"PARAMETERS": {"2": "'E:/G\u7a7a\u9593\u60c5\u5831\u30bb\u30f3\u30bf\u30fc/01\u5317\u6d77\u9053/04\u65e5\u9ad8\u68ee\u6797\u8a08\u753b\u533a/\u7b2c12\u7cfb/\u6797\u73ed\u754c.shp'", "crsjgd2000": "QgsCoordinateReferenceSystem('EPSG:2454')"}, "OUTPUTS": {"": "E:/G\u7a7a\u9593\u60c5\u5831\u30bb\u30f3\u30bf\u30fc/01\u5317\u6d77\u9053/04\u65e5\u9ad8\u68ee\u6797\u8a08\u753b\u533aTKY2JGD/\u7b2c12\u7cfb/\u6797\u73ed\u754c.fgb"}}</t>
  </si>
  <si>
    <t>{"PARAMETERS": {"2": "'E:/G\u7a7a\u9593\u60c5\u5831\u30bb\u30f3\u30bf\u30fc/01\u5317\u6d77\u9053/04\u65e5\u9ad8\u68ee\u6797\u8a08\u753b\u533a/\u7b2c12\u7cfb/\u6797\u73ed\u533a\u753b.shp'", "crsjgd2000": "QgsCoordinateReferenceSystem('EPSG:2454')"}, "OUTPUTS": {"": "E:/G\u7a7a\u9593\u60c5\u5831\u30bb\u30f3\u30bf\u30fc/01\u5317\u6d77\u9053/04\u65e5\u9ad8\u68ee\u6797\u8a08\u753b\u533aTKY2JGD/\u7b2c12\u7cfb/\u6797\u73ed\u533a\u753b.fgb"}}</t>
  </si>
  <si>
    <t>{"PARAMETERS": {"2": "'E:/G\u7a7a\u9593\u60c5\u5831\u30bb\u30f3\u30bf\u30fc/01\u5317\u6d77\u9053/04\u65e5\u9ad8\u68ee\u6797\u8a08\u753b\u533a/\u7b2c12\u7cfb/\u5c0f\u73ed\u754c.shp'", "crsjgd2000": "QgsCoordinateReferenceSystem('EPSG:2454')"}, "OUTPUTS": {"": "E:/G\u7a7a\u9593\u60c5\u5831\u30bb\u30f3\u30bf\u30fc/01\u5317\u6d77\u9053/04\u65e5\u9ad8\u68ee\u6797\u8a08\u753b\u533aTKY2JGD/\u7b2c12\u7cfb/\u5c0f\u73ed\u754c.fgb"}}</t>
  </si>
  <si>
    <t>{"PARAMETERS": {"2": "'E:/G\u7a7a\u9593\u60c5\u5831\u30bb\u30f3\u30bf\u30fc/01\u5317\u6d77\u9053/04\u65e5\u9ad8\u68ee\u6797\u8a08\u753b\u533a/\u7b2c12\u7cfb/\u5c0f\u73ed\u533a\u753b.shp'", "crsjgd2000": "QgsCoordinateReferenceSystem('EPSG:2454')"}, "OUTPUTS": {"": "E:/G\u7a7a\u9593\u60c5\u5831\u30bb\u30f3\u30bf\u30fc/01\u5317\u6d77\u9053/04\u65e5\u9ad8\u68ee\u6797\u8a08\u753b\u533aTKY2JGD/\u7b2c12\u7cfb/\u5c0f\u73ed\u533a\u753b.fgb"}}</t>
  </si>
  <si>
    <t>{"PARAMETERS": {"2": "'E:/G\u7a7a\u9593\u60c5\u5831\u30bb\u30f3\u30bf\u30fc/01\u5317\u6d77\u9053/04\u65e5\u9ad8\u68ee\u6797\u8a08\u753b\u533a/\u7b2c12\u7cfb/\u6797\u9053.shp'", "crsjgd2000": "QgsCoordinateReferenceSystem('EPSG:2454')"}, "OUTPUTS": {"": "E:/G\u7a7a\u9593\u60c5\u5831\u30bb\u30f3\u30bf\u30fc/01\u5317\u6d77\u9053/04\u65e5\u9ad8\u68ee\u6797\u8a08\u753b\u533aTKY2JGD/\u7b2c12\u7cfb/\u6797\u9053.fgb"}}</t>
  </si>
  <si>
    <t>{"PARAMETERS": {"2": "'E:/G\u7a7a\u9593\u60c5\u5831\u30bb\u30f3\u30bf\u30fc/01\u5317\u6d77\u9053/04\u65e5\u9ad8\u68ee\u6797\u8a08\u753b\u533a/\u7b2c12\u7cfb/\u4f5c\u696d\u9053.shp'", "crsjgd2000": "QgsCoordinateReferenceSystem('EPSG:2454')"}, "OUTPUTS": {"": "E:/G\u7a7a\u9593\u60c5\u5831\u30bb\u30f3\u30bf\u30fc/01\u5317\u6d77\u9053/04\u65e5\u9ad8\u68ee\u6797\u8a08\u753b\u533aTKY2JGD/\u7b2c12\u7cfb/\u4f5c\u696d\u9053.fgb"}}</t>
  </si>
  <si>
    <t>{"PARAMETERS": {"2": "'E:/G\u7a7a\u9593\u60c5\u5831\u30bb\u30f3\u30bf\u30fc/01\u5317\u6d77\u9053/04\u65e5\u9ad8\u68ee\u6797\u8a08\u753b\u533a/\u7b2c12\u7cfb/\u7b49\u9ad8\u7dda10m\u9593\u9694.shp'", "crsjgd2000": "QgsCoordinateReferenceSystem('EPSG:2454')"}, "OUTPUTS": {"": "E:/G\u7a7a\u9593\u60c5\u5831\u30bb\u30f3\u30bf\u30fc/01\u5317\u6d77\u9053/04\u65e5\u9ad8\u68ee\u6797\u8a08\u753b\u533aTKY2JGD/\u7b2c12\u7cfb/\u7b49\u9ad8\u7dda10m\u9593\u9694.fgb"}}</t>
  </si>
  <si>
    <t>{"PARAMETERS": {"2": "'E:/G\u7a7a\u9593\u60c5\u5831\u30bb\u30f3\u30bf\u30fc/01\u5317\u6d77\u9053/05\u77f3\u72e9\u7a7a\u77e5\u68ee\u6797\u8a08\u753b\u533a/\u7b2c12\u7cfb/\u5883\u754c.shp'", "crsjgd2000": "QgsCoordinateReferenceSystem('EPSG:2454')"}, "OUTPUTS": {"": "E:/G\u7a7a\u9593\u60c5\u5831\u30bb\u30f3\u30bf\u30fc/01\u5317\u6d77\u9053/05\u77f3\u72e9\u7a7a\u77e5\u68ee\u6797\u8a08\u753b\u533aTKY2JGD/\u7b2c12\u7cfb/\u5883\u754c.fgb"}}</t>
  </si>
  <si>
    <t>{"PARAMETERS": {"2": "'E:/G\u7a7a\u9593\u60c5\u5831\u30bb\u30f3\u30bf\u30fc/01\u5317\u6d77\u9053/05\u77f3\u72e9\u7a7a\u77e5\u68ee\u6797\u8a08\u753b\u533a/\u7b2c12\u7cfb/\u6797\u73ed\u754c.shp'", "crsjgd2000": "QgsCoordinateReferenceSystem('EPSG:2454')"}, "OUTPUTS": {"": "E:/G\u7a7a\u9593\u60c5\u5831\u30bb\u30f3\u30bf\u30fc/01\u5317\u6d77\u9053/05\u77f3\u72e9\u7a7a\u77e5\u68ee\u6797\u8a08\u753b\u533aTKY2JGD/\u7b2c12\u7cfb/\u6797\u73ed\u754c.fgb"}}</t>
  </si>
  <si>
    <t>{"PARAMETERS": {"2": "'E:/G\u7a7a\u9593\u60c5\u5831\u30bb\u30f3\u30bf\u30fc/01\u5317\u6d77\u9053/05\u77f3\u72e9\u7a7a\u77e5\u68ee\u6797\u8a08\u753b\u533a/\u7b2c12\u7cfb/\u6797\u73ed\u533a\u753b.shp'", "crsjgd2000": "QgsCoordinateReferenceSystem('EPSG:2454')"}, "OUTPUTS": {"": "E:/G\u7a7a\u9593\u60c5\u5831\u30bb\u30f3\u30bf\u30fc/01\u5317\u6d77\u9053/05\u77f3\u72e9\u7a7a\u77e5\u68ee\u6797\u8a08\u753b\u533aTKY2JGD/\u7b2c12\u7cfb/\u6797\u73ed\u533a\u753b.fgb"}}</t>
  </si>
  <si>
    <t>{"PARAMETERS": {"2": "'E:/G\u7a7a\u9593\u60c5\u5831\u30bb\u30f3\u30bf\u30fc/01\u5317\u6d77\u9053/05\u77f3\u72e9\u7a7a\u77e5\u68ee\u6797\u8a08\u753b\u533a/\u7b2c12\u7cfb/\u5c0f\u73ed\u754c.shp'", "crsjgd2000": "QgsCoordinateReferenceSystem('EPSG:2454')"}, "OUTPUTS": {"": "E:/G\u7a7a\u9593\u60c5\u5831\u30bb\u30f3\u30bf\u30fc/01\u5317\u6d77\u9053/05\u77f3\u72e9\u7a7a\u77e5\u68ee\u6797\u8a08\u753b\u533aTKY2JGD/\u7b2c12\u7cfb/\u5c0f\u73ed\u754c.fgb"}}</t>
  </si>
  <si>
    <t>{"PARAMETERS": {"2": "'E:/G\u7a7a\u9593\u60c5\u5831\u30bb\u30f3\u30bf\u30fc/01\u5317\u6d77\u9053/05\u77f3\u72e9\u7a7a\u77e5\u68ee\u6797\u8a08\u753b\u533a/\u7b2c12\u7cfb/\u5c0f\u73ed\u533a\u753b.shp'", "crsjgd2000": "QgsCoordinateReferenceSystem('EPSG:2454')"}, "OUTPUTS": {"": "E:/G\u7a7a\u9593\u60c5\u5831\u30bb\u30f3\u30bf\u30fc/01\u5317\u6d77\u9053/05\u77f3\u72e9\u7a7a\u77e5\u68ee\u6797\u8a08\u753b\u533aTKY2JGD/\u7b2c12\u7cfb/\u5c0f\u73ed\u533a\u753b.fgb"}}</t>
  </si>
  <si>
    <t>{"PARAMETERS": {"2": "'E:/G\u7a7a\u9593\u60c5\u5831\u30bb\u30f3\u30bf\u30fc/01\u5317\u6d77\u9053/05\u77f3\u72e9\u7a7a\u77e5\u68ee\u6797\u8a08\u753b\u533a/\u7b2c12\u7cfb/\u6797\u9053.shp'", "crsjgd2000": "QgsCoordinateReferenceSystem('EPSG:2454')"}, "OUTPUTS": {"": "E:/G\u7a7a\u9593\u60c5\u5831\u30bb\u30f3\u30bf\u30fc/01\u5317\u6d77\u9053/05\u77f3\u72e9\u7a7a\u77e5\u68ee\u6797\u8a08\u753b\u533aTKY2JGD/\u7b2c12\u7cfb/\u6797\u9053.fgb"}}</t>
  </si>
  <si>
    <t>{"PARAMETERS": {"2": "'E:/G\u7a7a\u9593\u60c5\u5831\u30bb\u30f3\u30bf\u30fc/01\u5317\u6d77\u9053/05\u77f3\u72e9\u7a7a\u77e5\u68ee\u6797\u8a08\u753b\u533a/\u7b2c12\u7cfb/\u4f5c\u696d\u9053.shp'", "crsjgd2000": "QgsCoordinateReferenceSystem('EPSG:2454')"}, "OUTPUTS": {"": "E:/G\u7a7a\u9593\u60c5\u5831\u30bb\u30f3\u30bf\u30fc/01\u5317\u6d77\u9053/05\u77f3\u72e9\u7a7a\u77e5\u68ee\u6797\u8a08\u753b\u533aTKY2JGD/\u7b2c12\u7cfb/\u4f5c\u696d\u9053.fgb"}}</t>
  </si>
  <si>
    <t>{"PARAMETERS": {"2": "'E:/G\u7a7a\u9593\u60c5\u5831\u30bb\u30f3\u30bf\u30fc/01\u5317\u6d77\u9053/05\u77f3\u72e9\u7a7a\u77e5\u68ee\u6797\u8a08\u753b\u533a/\u7b2c12\u7cfb/\u7b49\u9ad8\u7dda10m\u9593\u9694.shp'", "crsjgd2000": "QgsCoordinateReferenceSystem('EPSG:2454')"}, "OUTPUTS": {"": "E:/G\u7a7a\u9593\u60c5\u5831\u30bb\u30f3\u30bf\u30fc/01\u5317\u6d77\u9053/05\u77f3\u72e9\u7a7a\u77e5\u68ee\u6797\u8a08\u753b\u533aTKY2JGD/\u7b2c12\u7cfb/\u7b49\u9ad8\u7dda10m\u9593\u9694.fgb"}}</t>
  </si>
  <si>
    <t>{"PARAMETERS": {"2": "'E:/G\u7a7a\u9593\u60c5\u5831\u30bb\u30f3\u30bf\u30fc/01\u5317\u6d77\u9053/06\u4e0a\u5ddd\u5357\u90e8\u68ee\u6797\u8a08\u753b\u533a/\u7b2c12\u7cfb/\u5883\u754c.shp'", "crsjgd2000": "QgsCoordinateReferenceSystem('EPSG:2454')"}, "OUTPUTS": {"": "E:/G\u7a7a\u9593\u60c5\u5831\u30bb\u30f3\u30bf\u30fc/01\u5317\u6d77\u9053/06\u4e0a\u5ddd\u5357\u90e8\u68ee\u6797\u8a08\u753b\u533aTKY2JGD/\u7b2c12\u7cfb/\u5883\u754c.fgb"}}</t>
  </si>
  <si>
    <t>{"PARAMETERS": {"2": "'E:/G\u7a7a\u9593\u60c5\u5831\u30bb\u30f3\u30bf\u30fc/01\u5317\u6d77\u9053/06\u4e0a\u5ddd\u5357\u90e8\u68ee\u6797\u8a08\u753b\u533a/\u7b2c12\u7cfb/\u6797\u73ed\u754c.shp'", "crsjgd2000": "QgsCoordinateReferenceSystem('EPSG:2454')"}, "OUTPUTS": {"": "E:/G\u7a7a\u9593\u60c5\u5831\u30bb\u30f3\u30bf\u30fc/01\u5317\u6d77\u9053/06\u4e0a\u5ddd\u5357\u90e8\u68ee\u6797\u8a08\u753b\u533aTKY2JGD/\u7b2c12\u7cfb/\u6797\u73ed\u754c.fgb"}}</t>
  </si>
  <si>
    <t>{"PARAMETERS": {"2": "'E:/G\u7a7a\u9593\u60c5\u5831\u30bb\u30f3\u30bf\u30fc/01\u5317\u6d77\u9053/06\u4e0a\u5ddd\u5357\u90e8\u68ee\u6797\u8a08\u753b\u533a/\u7b2c12\u7cfb/\u6797\u73ed\u533a\u753b.shp'", "crsjgd2000": "QgsCoordinateReferenceSystem('EPSG:2454')"}, "OUTPUTS": {"": "E:/G\u7a7a\u9593\u60c5\u5831\u30bb\u30f3\u30bf\u30fc/01\u5317\u6d77\u9053/06\u4e0a\u5ddd\u5357\u90e8\u68ee\u6797\u8a08\u753b\u533aTKY2JGD/\u7b2c12\u7cfb/\u6797\u73ed\u533a\u753b.fgb"}}</t>
  </si>
  <si>
    <t>{"PARAMETERS": {"2": "'E:/G\u7a7a\u9593\u60c5\u5831\u30bb\u30f3\u30bf\u30fc/01\u5317\u6d77\u9053/06\u4e0a\u5ddd\u5357\u90e8\u68ee\u6797\u8a08\u753b\u533a/\u7b2c12\u7cfb/\u5c0f\u73ed\u754c.shp'", "crsjgd2000": "QgsCoordinateReferenceSystem('EPSG:2454')"}, "OUTPUTS": {"": "E:/G\u7a7a\u9593\u60c5\u5831\u30bb\u30f3\u30bf\u30fc/01\u5317\u6d77\u9053/06\u4e0a\u5ddd\u5357\u90e8\u68ee\u6797\u8a08\u753b\u533aTKY2JGD/\u7b2c12\u7cfb/\u5c0f\u73ed\u754c.fgb"}}</t>
  </si>
  <si>
    <t>{"PARAMETERS": {"2": "'E:/G\u7a7a\u9593\u60c5\u5831\u30bb\u30f3\u30bf\u30fc/01\u5317\u6d77\u9053/06\u4e0a\u5ddd\u5357\u90e8\u68ee\u6797\u8a08\u753b\u533a/\u7b2c12\u7cfb/\u5c0f\u73ed\u533a\u753b.shp'", "crsjgd2000": "QgsCoordinateReferenceSystem('EPSG:2454')"}, "OUTPUTS": {"": "E:/G\u7a7a\u9593\u60c5\u5831\u30bb\u30f3\u30bf\u30fc/01\u5317\u6d77\u9053/06\u4e0a\u5ddd\u5357\u90e8\u68ee\u6797\u8a08\u753b\u533aTKY2JGD/\u7b2c12\u7cfb/\u5c0f\u73ed\u533a\u753b.fgb"}}</t>
  </si>
  <si>
    <t>{"PARAMETERS": {"2": "'E:/G\u7a7a\u9593\u60c5\u5831\u30bb\u30f3\u30bf\u30fc/01\u5317\u6d77\u9053/06\u4e0a\u5ddd\u5357\u90e8\u68ee\u6797\u8a08\u753b\u533a/\u7b2c12\u7cfb/\u6797\u9053.shp'", "crsjgd2000": "QgsCoordinateReferenceSystem('EPSG:2454')"}, "OUTPUTS": {"": "E:/G\u7a7a\u9593\u60c5\u5831\u30bb\u30f3\u30bf\u30fc/01\u5317\u6d77\u9053/06\u4e0a\u5ddd\u5357\u90e8\u68ee\u6797\u8a08\u753b\u533aTKY2JGD/\u7b2c12\u7cfb/\u6797\u9053.fgb"}}</t>
  </si>
  <si>
    <t>{"PARAMETERS": {"2": "'E:/G\u7a7a\u9593\u60c5\u5831\u30bb\u30f3\u30bf\u30fc/01\u5317\u6d77\u9053/06\u4e0a\u5ddd\u5357\u90e8\u68ee\u6797\u8a08\u753b\u533a/\u7b2c12\u7cfb/\u4f5c\u696d\u9053.shp'", "crsjgd2000": "QgsCoordinateReferenceSystem('EPSG:2454')"}, "OUTPUTS": {"": "E:/G\u7a7a\u9593\u60c5\u5831\u30bb\u30f3\u30bf\u30fc/01\u5317\u6d77\u9053/06\u4e0a\u5ddd\u5357\u90e8\u68ee\u6797\u8a08\u753b\u533aTKY2JGD/\u7b2c12\u7cfb/\u4f5c\u696d\u9053.fgb"}}</t>
  </si>
  <si>
    <t>{"PARAMETERS": {"2": "'E:/G\u7a7a\u9593\u60c5\u5831\u30bb\u30f3\u30bf\u30fc/01\u5317\u6d77\u9053/06\u4e0a\u5ddd\u5357\u90e8\u68ee\u6797\u8a08\u753b\u533a/\u7b2c12\u7cfb/\u7b49\u9ad8\u7dda10m\u9593\u9694.shp'", "crsjgd2000": "QgsCoordinateReferenceSystem('EPSG:2454')"}, "OUTPUTS": {"": "E:/G\u7a7a\u9593\u60c5\u5831\u30bb\u30f3\u30bf\u30fc/01\u5317\u6d77\u9053/06\u4e0a\u5ddd\u5357\u90e8\u68ee\u6797\u8a08\u753b\u533aTKY2JGD/\u7b2c12\u7cfb/\u7b49\u9ad8\u7dda10m\u9593\u9694.fgb"}}</t>
  </si>
  <si>
    <t>{"PARAMETERS": {"2": "'E:/G\u7a7a\u9593\u60c5\u5831\u30bb\u30f3\u30bf\u30fc/01\u5317\u6d77\u9053/07\u4e0a\u5ddd\u5317\u90e8\u68ee\u6797\u8a08\u753b\u533a/\u7b2c12\u7cfb/\u5883\u754c.shp'", "crsjgd2000": "QgsCoordinateReferenceSystem('EPSG:2454')"}, "OUTPUTS": {"": "E:/G\u7a7a\u9593\u60c5\u5831\u30bb\u30f3\u30bf\u30fc/01\u5317\u6d77\u9053/07\u4e0a\u5ddd\u5317\u90e8\u68ee\u6797\u8a08\u753b\u533aTKY2JGD/\u7b2c12\u7cfb/\u5883\u754c.fgb"}}</t>
  </si>
  <si>
    <t>{"PARAMETERS": {"2": "'E:/G\u7a7a\u9593\u60c5\u5831\u30bb\u30f3\u30bf\u30fc/01\u5317\u6d77\u9053/07\u4e0a\u5ddd\u5317\u90e8\u68ee\u6797\u8a08\u753b\u533a/\u7b2c12\u7cfb/\u6797\u73ed\u754c.shp'", "crsjgd2000": "QgsCoordinateReferenceSystem('EPSG:2454')"}, "OUTPUTS": {"": "E:/G\u7a7a\u9593\u60c5\u5831\u30bb\u30f3\u30bf\u30fc/01\u5317\u6d77\u9053/07\u4e0a\u5ddd\u5317\u90e8\u68ee\u6797\u8a08\u753b\u533aTKY2JGD/\u7b2c12\u7cfb/\u6797\u73ed\u754c.fgb"}}</t>
  </si>
  <si>
    <t>{"PARAMETERS": {"2": "'E:/G\u7a7a\u9593\u60c5\u5831\u30bb\u30f3\u30bf\u30fc/01\u5317\u6d77\u9053/07\u4e0a\u5ddd\u5317\u90e8\u68ee\u6797\u8a08\u753b\u533a/\u7b2c12\u7cfb/\u6797\u73ed\u533a\u753b.shp'", "crsjgd2000": "QgsCoordinateReferenceSystem('EPSG:2454')"}, "OUTPUTS": {"": "E:/G\u7a7a\u9593\u60c5\u5831\u30bb\u30f3\u30bf\u30fc/01\u5317\u6d77\u9053/07\u4e0a\u5ddd\u5317\u90e8\u68ee\u6797\u8a08\u753b\u533aTKY2JGD/\u7b2c12\u7cfb/\u6797\u73ed\u533a\u753b.fgb"}}</t>
  </si>
  <si>
    <t>{"PARAMETERS": {"2": "'E:/G\u7a7a\u9593\u60c5\u5831\u30bb\u30f3\u30bf\u30fc/01\u5317\u6d77\u9053/07\u4e0a\u5ddd\u5317\u90e8\u68ee\u6797\u8a08\u753b\u533a/\u7b2c12\u7cfb/\u5c0f\u73ed\u754c.shp'", "crsjgd2000": "QgsCoordinateReferenceSystem('EPSG:2454')"}, "OUTPUTS": {"": "E:/G\u7a7a\u9593\u60c5\u5831\u30bb\u30f3\u30bf\u30fc/01\u5317\u6d77\u9053/07\u4e0a\u5ddd\u5317\u90e8\u68ee\u6797\u8a08\u753b\u533aTKY2JGD/\u7b2c12\u7cfb/\u5c0f\u73ed\u754c.fgb"}}</t>
  </si>
  <si>
    <t>{"PARAMETERS": {"2": "'E:/G\u7a7a\u9593\u60c5\u5831\u30bb\u30f3\u30bf\u30fc/01\u5317\u6d77\u9053/07\u4e0a\u5ddd\u5317\u90e8\u68ee\u6797\u8a08\u753b\u533a/\u7b2c12\u7cfb/\u5c0f\u73ed\u533a\u753b.shp'", "crsjgd2000": "QgsCoordinateReferenceSystem('EPSG:2454')"}, "OUTPUTS": {"": "E:/G\u7a7a\u9593\u60c5\u5831\u30bb\u30f3\u30bf\u30fc/01\u5317\u6d77\u9053/07\u4e0a\u5ddd\u5317\u90e8\u68ee\u6797\u8a08\u753b\u533aTKY2JGD/\u7b2c12\u7cfb/\u5c0f\u73ed\u533a\u753b.fgb"}}</t>
  </si>
  <si>
    <t>{"PARAMETERS": {"2": "'E:/G\u7a7a\u9593\u60c5\u5831\u30bb\u30f3\u30bf\u30fc/01\u5317\u6d77\u9053/07\u4e0a\u5ddd\u5317\u90e8\u68ee\u6797\u8a08\u753b\u533a/\u7b2c12\u7cfb/\u6797\u9053.shp'", "crsjgd2000": "QgsCoordinateReferenceSystem('EPSG:2454')"}, "OUTPUTS": {"": "E:/G\u7a7a\u9593\u60c5\u5831\u30bb\u30f3\u30bf\u30fc/01\u5317\u6d77\u9053/07\u4e0a\u5ddd\u5317\u90e8\u68ee\u6797\u8a08\u753b\u533aTKY2JGD/\u7b2c12\u7cfb/\u6797\u9053.fgb"}}</t>
  </si>
  <si>
    <t>{"PARAMETERS": {"2": "'E:/G\u7a7a\u9593\u60c5\u5831\u30bb\u30f3\u30bf\u30fc/01\u5317\u6d77\u9053/07\u4e0a\u5ddd\u5317\u90e8\u68ee\u6797\u8a08\u753b\u533a/\u7b2c12\u7cfb/\u4f5c\u696d\u9053.shp'", "crsjgd2000": "QgsCoordinateReferenceSystem('EPSG:2454')"}, "OUTPUTS": {"": "E:/G\u7a7a\u9593\u60c5\u5831\u30bb\u30f3\u30bf\u30fc/01\u5317\u6d77\u9053/07\u4e0a\u5ddd\u5317\u90e8\u68ee\u6797\u8a08\u753b\u533aTKY2JGD/\u7b2c12\u7cfb/\u4f5c\u696d\u9053.fgb"}}</t>
  </si>
  <si>
    <t>{"PARAMETERS": {"2": "'E:/G\u7a7a\u9593\u60c5\u5831\u30bb\u30f3\u30bf\u30fc/01\u5317\u6d77\u9053/07\u4e0a\u5ddd\u5317\u90e8\u68ee\u6797\u8a08\u753b\u533a/\u7b2c12\u7cfb/\u7b49\u9ad8\u7dda10m\u9593\u9694.shp'", "crsjgd2000": "QgsCoordinateReferenceSystem('EPSG:2454')"}, "OUTPUTS": {"": "E:/G\u7a7a\u9593\u60c5\u5831\u30bb\u30f3\u30bf\u30fc/01\u5317\u6d77\u9053/07\u4e0a\u5ddd\u5317\u90e8\u68ee\u6797\u8a08\u753b\u533aTKY2JGD/\u7b2c12\u7cfb/\u7b49\u9ad8\u7dda10m\u9593\u9694.fgb"}}</t>
  </si>
  <si>
    <t>{"PARAMETERS": {"2": "'E:/G\u7a7a\u9593\u60c5\u5831\u30bb\u30f3\u30bf\u30fc/01\u5317\u6d77\u9053/08\u7559\u840c\u68ee\u6797\u8a08\u753b\u533a/\u7b2c12\u7cfb/\u5883\u754c.shp'", "crsjgd2000": "QgsCoordinateReferenceSystem('EPSG:2454')"}, "OUTPUTS": {"": "E:/G\u7a7a\u9593\u60c5\u5831\u30bb\u30f3\u30bf\u30fc/01\u5317\u6d77\u9053/08\u7559\u840c\u68ee\u6797\u8a08\u753b\u533aTKY2JGD/\u7b2c12\u7cfb/\u5883\u754c.fgb"}}</t>
  </si>
  <si>
    <t>{"PARAMETERS": {"2": "'E:/G\u7a7a\u9593\u60c5\u5831\u30bb\u30f3\u30bf\u30fc/01\u5317\u6d77\u9053/08\u7559\u840c\u68ee\u6797\u8a08\u753b\u533a/\u7b2c12\u7cfb/\u6797\u73ed\u754c.shp'", "crsjgd2000": "QgsCoordinateReferenceSystem('EPSG:2454')"}, "OUTPUTS": {"": "E:/G\u7a7a\u9593\u60c5\u5831\u30bb\u30f3\u30bf\u30fc/01\u5317\u6d77\u9053/08\u7559\u840c\u68ee\u6797\u8a08\u753b\u533aTKY2JGD/\u7b2c12\u7cfb/\u6797\u73ed\u754c.fgb"}}</t>
  </si>
  <si>
    <t>{"PARAMETERS": {"2": "'E:/G\u7a7a\u9593\u60c5\u5831\u30bb\u30f3\u30bf\u30fc/01\u5317\u6d77\u9053/08\u7559\u840c\u68ee\u6797\u8a08\u753b\u533a/\u7b2c12\u7cfb/\u6797\u73ed\u533a\u753b.shp'", "crsjgd2000": "QgsCoordinateReferenceSystem('EPSG:2454')"}, "OUTPUTS": {"": "E:/G\u7a7a\u9593\u60c5\u5831\u30bb\u30f3\u30bf\u30fc/01\u5317\u6d77\u9053/08\u7559\u840c\u68ee\u6797\u8a08\u753b\u533aTKY2JGD/\u7b2c12\u7cfb/\u6797\u73ed\u533a\u753b.fgb"}}</t>
  </si>
  <si>
    <t>{"PARAMETERS": {"2": "'E:/G\u7a7a\u9593\u60c5\u5831\u30bb\u30f3\u30bf\u30fc/01\u5317\u6d77\u9053/08\u7559\u840c\u68ee\u6797\u8a08\u753b\u533a/\u7b2c12\u7cfb/\u5c0f\u73ed\u754c.shp'", "crsjgd2000": "QgsCoordinateReferenceSystem('EPSG:2454')"}, "OUTPUTS": {"": "E:/G\u7a7a\u9593\u60c5\u5831\u30bb\u30f3\u30bf\u30fc/01\u5317\u6d77\u9053/08\u7559\u840c\u68ee\u6797\u8a08\u753b\u533aTKY2JGD/\u7b2c12\u7cfb/\u5c0f\u73ed\u754c.fgb"}}</t>
  </si>
  <si>
    <t>{"PARAMETERS": {"2": "'E:/G\u7a7a\u9593\u60c5\u5831\u30bb\u30f3\u30bf\u30fc/01\u5317\u6d77\u9053/08\u7559\u840c\u68ee\u6797\u8a08\u753b\u533a/\u7b2c12\u7cfb/\u5c0f\u73ed\u533a\u753b.shp'", "crsjgd2000": "QgsCoordinateReferenceSystem('EPSG:2454')"}, "OUTPUTS": {"": "E:/G\u7a7a\u9593\u60c5\u5831\u30bb\u30f3\u30bf\u30fc/01\u5317\u6d77\u9053/08\u7559\u840c\u68ee\u6797\u8a08\u753b\u533aTKY2JGD/\u7b2c12\u7cfb/\u5c0f\u73ed\u533a\u753b.fgb"}}</t>
  </si>
  <si>
    <t>{"PARAMETERS": {"2": "'E:/G\u7a7a\u9593\u60c5\u5831\u30bb\u30f3\u30bf\u30fc/01\u5317\u6d77\u9053/08\u7559\u840c\u68ee\u6797\u8a08\u753b\u533a/\u7b2c12\u7cfb/\u6797\u9053.shp'", "crsjgd2000": "QgsCoordinateReferenceSystem('EPSG:2454')"}, "OUTPUTS": {"": "E:/G\u7a7a\u9593\u60c5\u5831\u30bb\u30f3\u30bf\u30fc/01\u5317\u6d77\u9053/08\u7559\u840c\u68ee\u6797\u8a08\u753b\u533aTKY2JGD/\u7b2c12\u7cfb/\u6797\u9053.fgb"}}</t>
  </si>
  <si>
    <t>{"PARAMETERS": {"2": "'E:/G\u7a7a\u9593\u60c5\u5831\u30bb\u30f3\u30bf\u30fc/01\u5317\u6d77\u9053/08\u7559\u840c\u68ee\u6797\u8a08\u753b\u533a/\u7b2c12\u7cfb/\u4f5c\u696d\u9053.shp'", "crsjgd2000": "QgsCoordinateReferenceSystem('EPSG:2454')"}, "OUTPUTS": {"": "E:/G\u7a7a\u9593\u60c5\u5831\u30bb\u30f3\u30bf\u30fc/01\u5317\u6d77\u9053/08\u7559\u840c\u68ee\u6797\u8a08\u753b\u533aTKY2JGD/\u7b2c12\u7cfb/\u4f5c\u696d\u9053.fgb"}}</t>
  </si>
  <si>
    <t>{"PARAMETERS": {"2": "'E:/G\u7a7a\u9593\u60c5\u5831\u30bb\u30f3\u30bf\u30fc/01\u5317\u6d77\u9053/08\u7559\u840c\u68ee\u6797\u8a08\u753b\u533a/\u7b2c12\u7cfb/\u7b49\u9ad8\u7dda10m\u9593\u9694.shp'", "crsjgd2000": "QgsCoordinateReferenceSystem('EPSG:2454')"}, "OUTPUTS": {"": "E:/G\u7a7a\u9593\u60c5\u5831\u30bb\u30f3\u30bf\u30fc/01\u5317\u6d77\u9053/08\u7559\u840c\u68ee\u6797\u8a08\u753b\u533aTKY2JGD/\u7b2c12\u7cfb/\u7b49\u9ad8\u7dda10m\u9593\u9694.fgb"}}</t>
  </si>
  <si>
    <t>{"PARAMETERS": {"2": "'E:/G\u7a7a\u9593\u60c5\u5831\u30bb\u30f3\u30bf\u30fc/01\u5317\u6d77\u9053/09\u5b97\u8c37\u68ee\u6797\u8a08\u753b\u533a/\u7b2c12\u7cfb/\u5883\u754c.shp'", "crsjgd2000": "QgsCoordinateReferenceSystem('EPSG:2454')"}, "OUTPUTS": {"": "E:/G\u7a7a\u9593\u60c5\u5831\u30bb\u30f3\u30bf\u30fc/01\u5317\u6d77\u9053/09\u5b97\u8c37\u68ee\u6797\u8a08\u753b\u533aTKY2JGD/\u7b2c12\u7cfb/\u5883\u754c.fgb"}}</t>
  </si>
  <si>
    <t>{"PARAMETERS": {"2": "'E:/G\u7a7a\u9593\u60c5\u5831\u30bb\u30f3\u30bf\u30fc/01\u5317\u6d77\u9053/09\u5b97\u8c37\u68ee\u6797\u8a08\u753b\u533a/\u7b2c12\u7cfb/\u6797\u73ed\u754c.shp'", "crsjgd2000": "QgsCoordinateReferenceSystem('EPSG:2454')"}, "OUTPUTS": {"": "E:/G\u7a7a\u9593\u60c5\u5831\u30bb\u30f3\u30bf\u30fc/01\u5317\u6d77\u9053/09\u5b97\u8c37\u68ee\u6797\u8a08\u753b\u533aTKY2JGD/\u7b2c12\u7cfb/\u6797\u73ed\u754c.fgb"}}</t>
  </si>
  <si>
    <t>{"PARAMETERS": {"2": "'E:/G\u7a7a\u9593\u60c5\u5831\u30bb\u30f3\u30bf\u30fc/01\u5317\u6d77\u9053/09\u5b97\u8c37\u68ee\u6797\u8a08\u753b\u533a/\u7b2c12\u7cfb/\u6797\u73ed\u533a\u753b.shp'", "crsjgd2000": "QgsCoordinateReferenceSystem('EPSG:2454')"}, "OUTPUTS": {"": "E:/G\u7a7a\u9593\u60c5\u5831\u30bb\u30f3\u30bf\u30fc/01\u5317\u6d77\u9053/09\u5b97\u8c37\u68ee\u6797\u8a08\u753b\u533aTKY2JGD/\u7b2c12\u7cfb/\u6797\u73ed\u533a\u753b.fgb"}}</t>
  </si>
  <si>
    <t>{"PARAMETERS": {"2": "'E:/G\u7a7a\u9593\u60c5\u5831\u30bb\u30f3\u30bf\u30fc/01\u5317\u6d77\u9053/09\u5b97\u8c37\u68ee\u6797\u8a08\u753b\u533a/\u7b2c12\u7cfb/\u5c0f\u73ed\u754c.shp'", "crsjgd2000": "QgsCoordinateReferenceSystem('EPSG:2454')"}, "OUTPUTS": {"": "E:/G\u7a7a\u9593\u60c5\u5831\u30bb\u30f3\u30bf\u30fc/01\u5317\u6d77\u9053/09\u5b97\u8c37\u68ee\u6797\u8a08\u753b\u533aTKY2JGD/\u7b2c12\u7cfb/\u5c0f\u73ed\u754c.fgb"}}</t>
  </si>
  <si>
    <t>{"PARAMETERS": {"2": "'E:/G\u7a7a\u9593\u60c5\u5831\u30bb\u30f3\u30bf\u30fc/01\u5317\u6d77\u9053/09\u5b97\u8c37\u68ee\u6797\u8a08\u753b\u533a/\u7b2c12\u7cfb/\u5c0f\u73ed\u533a\u753b.shp'", "crsjgd2000": "QgsCoordinateReferenceSystem('EPSG:2454')"}, "OUTPUTS": {"": "E:/G\u7a7a\u9593\u60c5\u5831\u30bb\u30f3\u30bf\u30fc/01\u5317\u6d77\u9053/09\u5b97\u8c37\u68ee\u6797\u8a08\u753b\u533aTKY2JGD/\u7b2c12\u7cfb/\u5c0f\u73ed\u533a\u753b.fgb"}}</t>
  </si>
  <si>
    <t>{"PARAMETERS": {"2": "'E:/G\u7a7a\u9593\u60c5\u5831\u30bb\u30f3\u30bf\u30fc/01\u5317\u6d77\u9053/09\u5b97\u8c37\u68ee\u6797\u8a08\u753b\u533a/\u7b2c12\u7cfb/\u6797\u9053.shp'", "crsjgd2000": "QgsCoordinateReferenceSystem('EPSG:2454')"}, "OUTPUTS": {"": "E:/G\u7a7a\u9593\u60c5\u5831\u30bb\u30f3\u30bf\u30fc/01\u5317\u6d77\u9053/09\u5b97\u8c37\u68ee\u6797\u8a08\u753b\u533aTKY2JGD/\u7b2c12\u7cfb/\u6797\u9053.fgb"}}</t>
  </si>
  <si>
    <t>{"PARAMETERS": {"2": "'E:/G\u7a7a\u9593\u60c5\u5831\u30bb\u30f3\u30bf\u30fc/01\u5317\u6d77\u9053/09\u5b97\u8c37\u68ee\u6797\u8a08\u753b\u533a/\u7b2c12\u7cfb/\u4f5c\u696d\u9053.shp'", "crsjgd2000": "QgsCoordinateReferenceSystem('EPSG:2454')"}, "OUTPUTS": {"": "E:/G\u7a7a\u9593\u60c5\u5831\u30bb\u30f3\u30bf\u30fc/01\u5317\u6d77\u9053/09\u5b97\u8c37\u68ee\u6797\u8a08\u753b\u533aTKY2JGD/\u7b2c12\u7cfb/\u4f5c\u696d\u9053.fgb"}}</t>
  </si>
  <si>
    <t>{"PARAMETERS": {"2": "'E:/G\u7a7a\u9593\u60c5\u5831\u30bb\u30f3\u30bf\u30fc/01\u5317\u6d77\u9053/09\u5b97\u8c37\u68ee\u6797\u8a08\u753b\u533a/\u7b2c12\u7cfb/\u7b49\u9ad8\u7dda10m\u9593\u9694.shp'", "crsjgd2000": "QgsCoordinateReferenceSystem('EPSG:2454')"}, "OUTPUTS": {"": "E:/G\u7a7a\u9593\u60c5\u5831\u30bb\u30f3\u30bf\u30fc/01\u5317\u6d77\u9053/09\u5b97\u8c37\u68ee\u6797\u8a08\u753b\u533aTKY2JGD/\u7b2c12\u7cfb/\u7b49\u9ad8\u7dda10m\u9593\u9694.fgb"}}</t>
  </si>
  <si>
    <t>{"PARAMETERS": {"2": "'E:/G\u7a7a\u9593\u60c5\u5831\u30bb\u30f3\u30bf\u30fc/01\u5317\u6d77\u9053/10\u7db2\u8d70\u897f\u90e8\u68ee\u6797\u8a08\u753b\u533a/\u7b2c12\u7cfb/\u5883\u754c.shp'", "crsjgd2000": "QgsCoordinateReferenceSystem('EPSG:2454')"}, "OUTPUTS": {"": "E:/G\u7a7a\u9593\u60c5\u5831\u30bb\u30f3\u30bf\u30fc/01\u5317\u6d77\u9053/10\u7db2\u8d70\u897f\u90e8\u68ee\u6797\u8a08\u753b\u533aTKY2JGD/\u7b2c12\u7cfb/\u5883\u754c.fgb"}}</t>
  </si>
  <si>
    <t>{"PARAMETERS": {"2": "'E:/G\u7a7a\u9593\u60c5\u5831\u30bb\u30f3\u30bf\u30fc/01\u5317\u6d77\u9053/10\u7db2\u8d70\u897f\u90e8\u68ee\u6797\u8a08\u753b\u533a/\u7b2c12\u7cfb/\u6797\u73ed\u754c.shp'", "crsjgd2000": "QgsCoordinateReferenceSystem('EPSG:2454')"}, "OUTPUTS": {"": "E:/G\u7a7a\u9593\u60c5\u5831\u30bb\u30f3\u30bf\u30fc/01\u5317\u6d77\u9053/10\u7db2\u8d70\u897f\u90e8\u68ee\u6797\u8a08\u753b\u533aTKY2JGD/\u7b2c12\u7cfb/\u6797\u73ed\u754c.fgb"}}</t>
  </si>
  <si>
    <t>{"PARAMETERS": {"2": "'E:/G\u7a7a\u9593\u60c5\u5831\u30bb\u30f3\u30bf\u30fc/01\u5317\u6d77\u9053/10\u7db2\u8d70\u897f\u90e8\u68ee\u6797\u8a08\u753b\u533a/\u7b2c12\u7cfb/\u6797\u73ed\u533a\u753b.shp'", "crsjgd2000": "QgsCoordinateReferenceSystem('EPSG:2454')"}, "OUTPUTS": {"": "E:/G\u7a7a\u9593\u60c5\u5831\u30bb\u30f3\u30bf\u30fc/01\u5317\u6d77\u9053/10\u7db2\u8d70\u897f\u90e8\u68ee\u6797\u8a08\u753b\u533aTKY2JGD/\u7b2c12\u7cfb/\u6797\u73ed\u533a\u753b.fgb"}}</t>
  </si>
  <si>
    <t>{"PARAMETERS": {"2": "'E:/G\u7a7a\u9593\u60c5\u5831\u30bb\u30f3\u30bf\u30fc/01\u5317\u6d77\u9053/10\u7db2\u8d70\u897f\u90e8\u68ee\u6797\u8a08\u753b\u533a/\u7b2c12\u7cfb/\u5c0f\u73ed\u754c.shp'", "crsjgd2000": "QgsCoordinateReferenceSystem('EPSG:2454')"}, "OUTPUTS": {"": "E:/G\u7a7a\u9593\u60c5\u5831\u30bb\u30f3\u30bf\u30fc/01\u5317\u6d77\u9053/10\u7db2\u8d70\u897f\u90e8\u68ee\u6797\u8a08\u753b\u533aTKY2JGD/\u7b2c12\u7cfb/\u5c0f\u73ed\u754c.fgb"}}</t>
  </si>
  <si>
    <t>{"PARAMETERS": {"2": "'E:/G\u7a7a\u9593\u60c5\u5831\u30bb\u30f3\u30bf\u30fc/01\u5317\u6d77\u9053/10\u7db2\u8d70\u897f\u90e8\u68ee\u6797\u8a08\u753b\u533a/\u7b2c12\u7cfb/\u5c0f\u73ed\u533a\u753b.shp'", "crsjgd2000": "QgsCoordinateReferenceSystem('EPSG:2454')"}, "OUTPUTS": {"": "E:/G\u7a7a\u9593\u60c5\u5831\u30bb\u30f3\u30bf\u30fc/01\u5317\u6d77\u9053/10\u7db2\u8d70\u897f\u90e8\u68ee\u6797\u8a08\u753b\u533aTKY2JGD/\u7b2c12\u7cfb/\u5c0f\u73ed\u533a\u753b.fgb"}}</t>
  </si>
  <si>
    <t>{"PARAMETERS": {"2": "'E:/G\u7a7a\u9593\u60c5\u5831\u30bb\u30f3\u30bf\u30fc/01\u5317\u6d77\u9053/10\u7db2\u8d70\u897f\u90e8\u68ee\u6797\u8a08\u753b\u533a/\u7b2c12\u7cfb/\u6797\u9053.shp'", "crsjgd2000": "QgsCoordinateReferenceSystem('EPSG:2454')"}, "OUTPUTS": {"": "E:/G\u7a7a\u9593\u60c5\u5831\u30bb\u30f3\u30bf\u30fc/01\u5317\u6d77\u9053/10\u7db2\u8d70\u897f\u90e8\u68ee\u6797\u8a08\u753b\u533aTKY2JGD/\u7b2c12\u7cfb/\u6797\u9053.fgb"}}</t>
  </si>
  <si>
    <t>{"PARAMETERS": {"2": "'E:/G\u7a7a\u9593\u60c5\u5831\u30bb\u30f3\u30bf\u30fc/01\u5317\u6d77\u9053/10\u7db2\u8d70\u897f\u90e8\u68ee\u6797\u8a08\u753b\u533a/\u7b2c12\u7cfb/\u4f5c\u696d\u9053.shp'", "crsjgd2000": "QgsCoordinateReferenceSystem('EPSG:2454')"}, "OUTPUTS": {"": "E:/G\u7a7a\u9593\u60c5\u5831\u30bb\u30f3\u30bf\u30fc/01\u5317\u6d77\u9053/10\u7db2\u8d70\u897f\u90e8\u68ee\u6797\u8a08\u753b\u533aTKY2JGD/\u7b2c12\u7cfb/\u4f5c\u696d\u9053.fgb"}}</t>
  </si>
  <si>
    <t>{"PARAMETERS": {"2": "'E:/G\u7a7a\u9593\u60c5\u5831\u30bb\u30f3\u30bf\u30fc/01\u5317\u6d77\u9053/10\u7db2\u8d70\u897f\u90e8\u68ee\u6797\u8a08\u753b\u533a/\u7b2c12\u7cfb/\u7b49\u9ad8\u7dda10m\u9593\u9694.shp'", "crsjgd2000": "QgsCoordinateReferenceSystem('EPSG:2454')"}, "OUTPUTS": {"": "E:/G\u7a7a\u9593\u60c5\u5831\u30bb\u30f3\u30bf\u30fc/01\u5317\u6d77\u9053/10\u7db2\u8d70\u897f\u90e8\u68ee\u6797\u8a08\u753b\u533aTKY2JGD/\u7b2c12\u7cfb/\u7b49\u9ad8\u7dda10m\u9593\u9694.fgb"}}</t>
  </si>
  <si>
    <t>{"PARAMETERS": {"2": "'E:/G\u7a7a\u9593\u60c5\u5831\u30bb\u30f3\u30bf\u30fc/01\u5317\u6d77\u9053/11\u7db2\u8d70\u6771\u90e8\u68ee\u6797\u8a08\u753b\u533a/\u7b2c13\u7cfb/\u5883\u754c.shp'", "crsjgd2000": "QgsCoordinateReferenceSystem('EPSG:2455')"}, "OUTPUTS": {"": "E:/G\u7a7a\u9593\u60c5\u5831\u30bb\u30f3\u30bf\u30fc/01\u5317\u6d77\u9053/11\u7db2\u8d70\u6771\u90e8\u68ee\u6797\u8a08\u753b\u533aTKY2JGD/\u7b2c13\u7cfb/\u5883\u754c.fgb"}}</t>
  </si>
  <si>
    <t>{"PARAMETERS": {"2": "'E:/G\u7a7a\u9593\u60c5\u5831\u30bb\u30f3\u30bf\u30fc/01\u5317\u6d77\u9053/11\u7db2\u8d70\u6771\u90e8\u68ee\u6797\u8a08\u753b\u533a/\u7b2c13\u7cfb/\u6797\u73ed\u754c.shp'", "crsjgd2000": "QgsCoordinateReferenceSystem('EPSG:2455')"}, "OUTPUTS": {"": "E:/G\u7a7a\u9593\u60c5\u5831\u30bb\u30f3\u30bf\u30fc/01\u5317\u6d77\u9053/11\u7db2\u8d70\u6771\u90e8\u68ee\u6797\u8a08\u753b\u533aTKY2JGD/\u7b2c13\u7cfb/\u6797\u73ed\u754c.fgb"}}</t>
  </si>
  <si>
    <t>{"PARAMETERS": {"2": "'E:/G\u7a7a\u9593\u60c5\u5831\u30bb\u30f3\u30bf\u30fc/01\u5317\u6d77\u9053/11\u7db2\u8d70\u6771\u90e8\u68ee\u6797\u8a08\u753b\u533a/\u7b2c13\u7cfb/\u6797\u73ed\u533a\u753b.shp'", "crsjgd2000": "QgsCoordinateReferenceSystem('EPSG:2455')"}, "OUTPUTS": {"": "E:/G\u7a7a\u9593\u60c5\u5831\u30bb\u30f3\u30bf\u30fc/01\u5317\u6d77\u9053/11\u7db2\u8d70\u6771\u90e8\u68ee\u6797\u8a08\u753b\u533aTKY2JGD/\u7b2c13\u7cfb/\u6797\u73ed\u533a\u753b.fgb"}}</t>
  </si>
  <si>
    <t>{"PARAMETERS": {"2": "'E:/G\u7a7a\u9593\u60c5\u5831\u30bb\u30f3\u30bf\u30fc/01\u5317\u6d77\u9053/11\u7db2\u8d70\u6771\u90e8\u68ee\u6797\u8a08\u753b\u533a/\u7b2c13\u7cfb/\u5c0f\u73ed\u754c.shp'", "crsjgd2000": "QgsCoordinateReferenceSystem('EPSG:2455')"}, "OUTPUTS": {"": "E:/G\u7a7a\u9593\u60c5\u5831\u30bb\u30f3\u30bf\u30fc/01\u5317\u6d77\u9053/11\u7db2\u8d70\u6771\u90e8\u68ee\u6797\u8a08\u753b\u533aTKY2JGD/\u7b2c13\u7cfb/\u5c0f\u73ed\u754c.fgb"}}</t>
  </si>
  <si>
    <t>{"PARAMETERS": {"2": "'E:/G\u7a7a\u9593\u60c5\u5831\u30bb\u30f3\u30bf\u30fc/01\u5317\u6d77\u9053/11\u7db2\u8d70\u6771\u90e8\u68ee\u6797\u8a08\u753b\u533a/\u7b2c13\u7cfb/\u5c0f\u73ed\u533a\u753b.shp'", "crsjgd2000": "QgsCoordinateReferenceSystem('EPSG:2455')"}, "OUTPUTS": {"": "E:/G\u7a7a\u9593\u60c5\u5831\u30bb\u30f3\u30bf\u30fc/01\u5317\u6d77\u9053/11\u7db2\u8d70\u6771\u90e8\u68ee\u6797\u8a08\u753b\u533aTKY2JGD/\u7b2c13\u7cfb/\u5c0f\u73ed\u533a\u753b.fgb"}}</t>
  </si>
  <si>
    <t>{"PARAMETERS": {"2": "'E:/G\u7a7a\u9593\u60c5\u5831\u30bb\u30f3\u30bf\u30fc/01\u5317\u6d77\u9053/11\u7db2\u8d70\u6771\u90e8\u68ee\u6797\u8a08\u753b\u533a/\u7b2c13\u7cfb/\u6797\u9053.shp'", "crsjgd2000": "QgsCoordinateReferenceSystem('EPSG:2455')"}, "OUTPUTS": {"": "E:/G\u7a7a\u9593\u60c5\u5831\u30bb\u30f3\u30bf\u30fc/01\u5317\u6d77\u9053/11\u7db2\u8d70\u6771\u90e8\u68ee\u6797\u8a08\u753b\u533aTKY2JGD/\u7b2c13\u7cfb/\u6797\u9053.fgb"}}</t>
  </si>
  <si>
    <t>{"PARAMETERS": {"2": "'E:/G\u7a7a\u9593\u60c5\u5831\u30bb\u30f3\u30bf\u30fc/01\u5317\u6d77\u9053/11\u7db2\u8d70\u6771\u90e8\u68ee\u6797\u8a08\u753b\u533a/\u7b2c13\u7cfb/\u4f5c\u696d\u9053.shp'", "crsjgd2000": "QgsCoordinateReferenceSystem('EPSG:2455')"}, "OUTPUTS": {"": "E:/G\u7a7a\u9593\u60c5\u5831\u30bb\u30f3\u30bf\u30fc/01\u5317\u6d77\u9053/11\u7db2\u8d70\u6771\u90e8\u68ee\u6797\u8a08\u753b\u533aTKY2JGD/\u7b2c13\u7cfb/\u4f5c\u696d\u9053.fgb"}}</t>
  </si>
  <si>
    <t>{"PARAMETERS": {"2": "'E:/G\u7a7a\u9593\u60c5\u5831\u30bb\u30f3\u30bf\u30fc/01\u5317\u6d77\u9053/11\u7db2\u8d70\u6771\u90e8\u68ee\u6797\u8a08\u753b\u533a/\u7b2c13\u7cfb/\u7b49\u9ad8\u7dda10m\u9593\u9694.shp'", "crsjgd2000": "QgsCoordinateReferenceSystem('EPSG:2455')"}, "OUTPUTS": {"": "E:/G\u7a7a\u9593\u60c5\u5831\u30bb\u30f3\u30bf\u30fc/01\u5317\u6d77\u9053/11\u7db2\u8d70\u6771\u90e8\u68ee\u6797\u8a08\u753b\u533aTKY2JGD/\u7b2c13\u7cfb/\u7b49\u9ad8\u7dda10m\u9593\u9694.fgb"}}</t>
  </si>
  <si>
    <t>{"PARAMETERS": {"2": "'E:/G\u7a7a\u9593\u60c5\u5831\u30bb\u30f3\u30bf\u30fc/01\u5317\u6d77\u9053/12\u91e7\u8def\u6839\u5ba4\u68ee\u6797\u8a08\u753b\u533a/\u7b2c13\u7cfb/\u5883\u754c.shp'", "crsjgd2000": "QgsCoordinateReferenceSystem('EPSG:2455')"}, "OUTPUTS": {"": "E:/G\u7a7a\u9593\u60c5\u5831\u30bb\u30f3\u30bf\u30fc/01\u5317\u6d77\u9053/12\u91e7\u8def\u6839\u5ba4\u68ee\u6797\u8a08\u753b\u533aTKY2JGD/\u7b2c13\u7cfb/\u5883\u754c.fgb"}}</t>
  </si>
  <si>
    <t>{"PARAMETERS": {"2": "'E:/G\u7a7a\u9593\u60c5\u5831\u30bb\u30f3\u30bf\u30fc/01\u5317\u6d77\u9053/12\u91e7\u8def\u6839\u5ba4\u68ee\u6797\u8a08\u753b\u533a/\u7b2c13\u7cfb/\u6797\u73ed\u754c.shp'", "crsjgd2000": "QgsCoordinateReferenceSystem('EPSG:2455')"}, "OUTPUTS": {"": "E:/G\u7a7a\u9593\u60c5\u5831\u30bb\u30f3\u30bf\u30fc/01\u5317\u6d77\u9053/12\u91e7\u8def\u6839\u5ba4\u68ee\u6797\u8a08\u753b\u533aTKY2JGD/\u7b2c13\u7cfb/\u6797\u73ed\u754c.fgb"}}</t>
  </si>
  <si>
    <t>{"PARAMETERS": {"2": "'E:/G\u7a7a\u9593\u60c5\u5831\u30bb\u30f3\u30bf\u30fc/01\u5317\u6d77\u9053/12\u91e7\u8def\u6839\u5ba4\u68ee\u6797\u8a08\u753b\u533a/\u7b2c13\u7cfb/\u6797\u73ed\u533a\u753b.shp'", "crsjgd2000": "QgsCoordinateReferenceSystem('EPSG:2455')"}, "OUTPUTS": {"": "E:/G\u7a7a\u9593\u60c5\u5831\u30bb\u30f3\u30bf\u30fc/01\u5317\u6d77\u9053/12\u91e7\u8def\u6839\u5ba4\u68ee\u6797\u8a08\u753b\u533aTKY2JGD/\u7b2c13\u7cfb/\u6797\u73ed\u533a\u753b.fgb"}}</t>
  </si>
  <si>
    <t>{"PARAMETERS": {"2": "'E:/G\u7a7a\u9593\u60c5\u5831\u30bb\u30f3\u30bf\u30fc/01\u5317\u6d77\u9053/12\u91e7\u8def\u6839\u5ba4\u68ee\u6797\u8a08\u753b\u533a/\u7b2c13\u7cfb/\u5c0f\u73ed\u754c.shp'", "crsjgd2000": "QgsCoordinateReferenceSystem('EPSG:2455')"}, "OUTPUTS": {"": "E:/G\u7a7a\u9593\u60c5\u5831\u30bb\u30f3\u30bf\u30fc/01\u5317\u6d77\u9053/12\u91e7\u8def\u6839\u5ba4\u68ee\u6797\u8a08\u753b\u533aTKY2JGD/\u7b2c13\u7cfb/\u5c0f\u73ed\u754c.fgb"}}</t>
  </si>
  <si>
    <t>{"PARAMETERS": {"2": "'E:/G\u7a7a\u9593\u60c5\u5831\u30bb\u30f3\u30bf\u30fc/01\u5317\u6d77\u9053/12\u91e7\u8def\u6839\u5ba4\u68ee\u6797\u8a08\u753b\u533a/\u7b2c13\u7cfb/\u5c0f\u73ed\u533a\u753b.shp'", "crsjgd2000": "QgsCoordinateReferenceSystem('EPSG:2455')"}, "OUTPUTS": {"": "E:/G\u7a7a\u9593\u60c5\u5831\u30bb\u30f3\u30bf\u30fc/01\u5317\u6d77\u9053/12\u91e7\u8def\u6839\u5ba4\u68ee\u6797\u8a08\u753b\u533aTKY2JGD/\u7b2c13\u7cfb/\u5c0f\u73ed\u533a\u753b.fgb"}}</t>
  </si>
  <si>
    <t>{"PARAMETERS": {"2": "'E:/G\u7a7a\u9593\u60c5\u5831\u30bb\u30f3\u30bf\u30fc/01\u5317\u6d77\u9053/12\u91e7\u8def\u6839\u5ba4\u68ee\u6797\u8a08\u753b\u533a/\u7b2c13\u7cfb/\u6797\u9053.shp'", "crsjgd2000": "QgsCoordinateReferenceSystem('EPSG:2455')"}, "OUTPUTS": {"": "E:/G\u7a7a\u9593\u60c5\u5831\u30bb\u30f3\u30bf\u30fc/01\u5317\u6d77\u9053/12\u91e7\u8def\u6839\u5ba4\u68ee\u6797\u8a08\u753b\u533aTKY2JGD/\u7b2c13\u7cfb/\u6797\u9053.fgb"}}</t>
  </si>
  <si>
    <t>{"PARAMETERS": {"2": "'E:/G\u7a7a\u9593\u60c5\u5831\u30bb\u30f3\u30bf\u30fc/01\u5317\u6d77\u9053/12\u91e7\u8def\u6839\u5ba4\u68ee\u6797\u8a08\u753b\u533a/\u7b2c13\u7cfb/\u4f5c\u696d\u9053.shp'", "crsjgd2000": "QgsCoordinateReferenceSystem('EPSG:2455')"}, "OUTPUTS": {"": "E:/G\u7a7a\u9593\u60c5\u5831\u30bb\u30f3\u30bf\u30fc/01\u5317\u6d77\u9053/12\u91e7\u8def\u6839\u5ba4\u68ee\u6797\u8a08\u753b\u533aTKY2JGD/\u7b2c13\u7cfb/\u4f5c\u696d\u9053.fgb"}}</t>
  </si>
  <si>
    <t>{"PARAMETERS": {"2": "'E:/G\u7a7a\u9593\u60c5\u5831\u30bb\u30f3\u30bf\u30fc/01\u5317\u6d77\u9053/12\u91e7\u8def\u6839\u5ba4\u68ee\u6797\u8a08\u753b\u533a/\u7b2c13\u7cfb/\u7b49\u9ad8\u7dda10m\u9593\u9694.shp'", "crsjgd2000": "QgsCoordinateReferenceSystem('EPSG:2455')"}, "OUTPUTS": {"": "E:/G\u7a7a\u9593\u60c5\u5831\u30bb\u30f3\u30bf\u30fc/01\u5317\u6d77\u9053/12\u91e7\u8def\u6839\u5ba4\u68ee\u6797\u8a08\u753b\u533aTKY2JGD/\u7b2c13\u7cfb/\u7b49\u9ad8\u7dda10m\u9593\u9694.fgb"}}</t>
  </si>
  <si>
    <t>{"PARAMETERS": {"2": "'E:/G\u7a7a\u9593\u60c5\u5831\u30bb\u30f3\u30bf\u30fc/01\u5317\u6d77\u9053/13\u5341\u52dd\u68ee\u6797\u8a08\u753b\u533a/\u7b2c13\u7cfb/\u5883\u754c.shp'", "crsjgd2000": "QgsCoordinateReferenceSystem('EPSG:2455')"}, "OUTPUTS": {"": "E:/G\u7a7a\u9593\u60c5\u5831\u30bb\u30f3\u30bf\u30fc/01\u5317\u6d77\u9053/13\u5341\u52dd\u68ee\u6797\u8a08\u753b\u533aTKY2JGD/\u7b2c13\u7cfb/\u5883\u754c.fgb"}}</t>
  </si>
  <si>
    <t>{"PARAMETERS": {"2": "'E:/G\u7a7a\u9593\u60c5\u5831\u30bb\u30f3\u30bf\u30fc/01\u5317\u6d77\u9053/13\u5341\u52dd\u68ee\u6797\u8a08\u753b\u533a/\u7b2c13\u7cfb/\u6797\u73ed\u754c.shp'", "crsjgd2000": "QgsCoordinateReferenceSystem('EPSG:2455')"}, "OUTPUTS": {"": "E:/G\u7a7a\u9593\u60c5\u5831\u30bb\u30f3\u30bf\u30fc/01\u5317\u6d77\u9053/13\u5341\u52dd\u68ee\u6797\u8a08\u753b\u533aTKY2JGD/\u7b2c13\u7cfb/\u6797\u73ed\u754c.fgb"}}</t>
  </si>
  <si>
    <t>{"PARAMETERS": {"2": "'E:/G\u7a7a\u9593\u60c5\u5831\u30bb\u30f3\u30bf\u30fc/01\u5317\u6d77\u9053/13\u5341\u52dd\u68ee\u6797\u8a08\u753b\u533a/\u7b2c13\u7cfb/\u6797\u73ed\u533a\u753b.shp'", "crsjgd2000": "QgsCoordinateReferenceSystem('EPSG:2455')"}, "OUTPUTS": {"": "E:/G\u7a7a\u9593\u60c5\u5831\u30bb\u30f3\u30bf\u30fc/01\u5317\u6d77\u9053/13\u5341\u52dd\u68ee\u6797\u8a08\u753b\u533aTKY2JGD/\u7b2c13\u7cfb/\u6797\u73ed\u533a\u753b.fgb"}}</t>
  </si>
  <si>
    <t>{"PARAMETERS": {"2": "'E:/G\u7a7a\u9593\u60c5\u5831\u30bb\u30f3\u30bf\u30fc/01\u5317\u6d77\u9053/13\u5341\u52dd\u68ee\u6797\u8a08\u753b\u533a/\u7b2c13\u7cfb/\u5c0f\u73ed\u754c.shp'", "crsjgd2000": "QgsCoordinateReferenceSystem('EPSG:2455')"}, "OUTPUTS": {"": "E:/G\u7a7a\u9593\u60c5\u5831\u30bb\u30f3\u30bf\u30fc/01\u5317\u6d77\u9053/13\u5341\u52dd\u68ee\u6797\u8a08\u753b\u533aTKY2JGD/\u7b2c13\u7cfb/\u5c0f\u73ed\u754c.fgb"}}</t>
  </si>
  <si>
    <t>{"PARAMETERS": {"2": "'E:/G\u7a7a\u9593\u60c5\u5831\u30bb\u30f3\u30bf\u30fc/01\u5317\u6d77\u9053/13\u5341\u52dd\u68ee\u6797\u8a08\u753b\u533a/\u7b2c13\u7cfb/\u5c0f\u73ed\u533a\u753b.shp'", "crsjgd2000": "QgsCoordinateReferenceSystem('EPSG:2455')"}, "OUTPUTS": {"": "E:/G\u7a7a\u9593\u60c5\u5831\u30bb\u30f3\u30bf\u30fc/01\u5317\u6d77\u9053/13\u5341\u52dd\u68ee\u6797\u8a08\u753b\u533aTKY2JGD/\u7b2c13\u7cfb/\u5c0f\u73ed\u533a\u753b.fgb"}}</t>
  </si>
  <si>
    <t>{"PARAMETERS": {"2": "'E:/G\u7a7a\u9593\u60c5\u5831\u30bb\u30f3\u30bf\u30fc/01\u5317\u6d77\u9053/13\u5341\u52dd\u68ee\u6797\u8a08\u753b\u533a/\u7b2c13\u7cfb/\u6797\u9053.shp'", "crsjgd2000": "QgsCoordinateReferenceSystem('EPSG:2455')"}, "OUTPUTS": {"": "E:/G\u7a7a\u9593\u60c5\u5831\u30bb\u30f3\u30bf\u30fc/01\u5317\u6d77\u9053/13\u5341\u52dd\u68ee\u6797\u8a08\u753b\u533aTKY2JGD/\u7b2c13\u7cfb/\u6797\u9053.fgb"}}</t>
  </si>
  <si>
    <t>{"PARAMETERS": {"2": "'E:/G\u7a7a\u9593\u60c5\u5831\u30bb\u30f3\u30bf\u30fc/01\u5317\u6d77\u9053/13\u5341\u52dd\u68ee\u6797\u8a08\u753b\u533a/\u7b2c13\u7cfb/\u4f5c\u696d\u9053.shp'", "crsjgd2000": "QgsCoordinateReferenceSystem('EPSG:2455')"}, "OUTPUTS": {"": "E:/G\u7a7a\u9593\u60c5\u5831\u30bb\u30f3\u30bf\u30fc/01\u5317\u6d77\u9053/13\u5341\u52dd\u68ee\u6797\u8a08\u753b\u533aTKY2JGD/\u7b2c13\u7cfb/\u4f5c\u696d\u9053.fgb"}}</t>
  </si>
  <si>
    <t>{"PARAMETERS": {"2": "'E:/G\u7a7a\u9593\u60c5\u5831\u30bb\u30f3\u30bf\u30fc/01\u5317\u6d77\u9053/13\u5341\u52dd\u68ee\u6797\u8a08\u753b\u533a/\u7b2c13\u7cfb/\u7b49\u9ad8\u7dda10m\u9593\u9694.shp'", "crsjgd2000": "QgsCoordinateReferenceSystem('EPSG:2455')"}, "OUTPUTS": {"": "E:/G\u7a7a\u9593\u60c5\u5831\u30bb\u30f3\u30bf\u30fc/01\u5317\u6d77\u9053/13\u5341\u52dd\u68ee\u6797\u8a08\u753b\u533aTKY2JGD/\u7b2c13\u7cfb/\u7b49\u9ad8\u7dda10m\u9593\u9694.fgb"}}</t>
  </si>
  <si>
    <t>{"PARAMETERS": {"2": "'E:/G\u7a7a\u9593\u60c5\u5831\u30bb\u30f3\u30bf\u30fc/02\u9752\u68ee\u770c/14\u6d25\u8efd\u68ee\u6797\u8a08\u753b\u533a/\u7b2c10\u7cfb/\u5883\u754c.shp'", "crsjgd2000": "QgsCoordinateReferenceSystem('EPSG:2452')"}, "OUTPUTS": {"": "E:/G\u7a7a\u9593\u60c5\u5831\u30bb\u30f3\u30bf\u30fc/02\u9752\u68ee\u770c/14\u6d25\u8efd\u68ee\u6797\u8a08\u753b\u533aTKY2JGD/\u7b2c10\u7cfb/\u5883\u754c.fgb"}}</t>
  </si>
  <si>
    <t>{"PARAMETERS": {"2": "'E:/G\u7a7a\u9593\u60c5\u5831\u30bb\u30f3\u30bf\u30fc/02\u9752\u68ee\u770c/14\u6d25\u8efd\u68ee\u6797\u8a08\u753b\u533a/\u7b2c10\u7cfb/\u6797\u73ed\u754c.shp'", "crsjgd2000": "QgsCoordinateReferenceSystem('EPSG:2452')"}, "OUTPUTS": {"": "E:/G\u7a7a\u9593\u60c5\u5831\u30bb\u30f3\u30bf\u30fc/02\u9752\u68ee\u770c/14\u6d25\u8efd\u68ee\u6797\u8a08\u753b\u533aTKY2JGD/\u7b2c10\u7cfb/\u6797\u73ed\u754c.fgb"}}</t>
  </si>
  <si>
    <t>{"PARAMETERS": {"2": "'E:/G\u7a7a\u9593\u60c5\u5831\u30bb\u30f3\u30bf\u30fc/02\u9752\u68ee\u770c/14\u6d25\u8efd\u68ee\u6797\u8a08\u753b\u533a/\u7b2c10\u7cfb/\u6797\u73ed\u533a\u753b.shp'", "crsjgd2000": "QgsCoordinateReferenceSystem('EPSG:2452')"}, "OUTPUTS": {"": "E:/G\u7a7a\u9593\u60c5\u5831\u30bb\u30f3\u30bf\u30fc/02\u9752\u68ee\u770c/14\u6d25\u8efd\u68ee\u6797\u8a08\u753b\u533aTKY2JGD/\u7b2c10\u7cfb/\u6797\u73ed\u533a\u753b.fgb"}}</t>
  </si>
  <si>
    <t>{"PARAMETERS": {"2": "'E:/G\u7a7a\u9593\u60c5\u5831\u30bb\u30f3\u30bf\u30fc/02\u9752\u68ee\u770c/14\u6d25\u8efd\u68ee\u6797\u8a08\u753b\u533a/\u7b2c10\u7cfb/\u5c0f\u73ed\u754c.shp'", "crsjgd2000": "QgsCoordinateReferenceSystem('EPSG:2452')"}, "OUTPUTS": {"": "E:/G\u7a7a\u9593\u60c5\u5831\u30bb\u30f3\u30bf\u30fc/02\u9752\u68ee\u770c/14\u6d25\u8efd\u68ee\u6797\u8a08\u753b\u533aTKY2JGD/\u7b2c10\u7cfb/\u5c0f\u73ed\u754c.fgb"}}</t>
  </si>
  <si>
    <t>{"PARAMETERS": {"2": "'E:/G\u7a7a\u9593\u60c5\u5831\u30bb\u30f3\u30bf\u30fc/02\u9752\u68ee\u770c/14\u6d25\u8efd\u68ee\u6797\u8a08\u753b\u533a/\u7b2c10\u7cfb/\u5c0f\u73ed\u533a\u753b.shp'", "crsjgd2000": "QgsCoordinateReferenceSystem('EPSG:2452')"}, "OUTPUTS": {"": "E:/G\u7a7a\u9593\u60c5\u5831\u30bb\u30f3\u30bf\u30fc/02\u9752\u68ee\u770c/14\u6d25\u8efd\u68ee\u6797\u8a08\u753b\u533aTKY2JGD/\u7b2c10\u7cfb/\u5c0f\u73ed\u533a\u753b.fgb"}}</t>
  </si>
  <si>
    <t>{"PARAMETERS": {"2": "'E:/G\u7a7a\u9593\u60c5\u5831\u30bb\u30f3\u30bf\u30fc/02\u9752\u68ee\u770c/14\u6d25\u8efd\u68ee\u6797\u8a08\u753b\u533a/\u7b2c10\u7cfb/\u6797\u9053.shp'", "crsjgd2000": "QgsCoordinateReferenceSystem('EPSG:2452')"}, "OUTPUTS": {"": "E:/G\u7a7a\u9593\u60c5\u5831\u30bb\u30f3\u30bf\u30fc/02\u9752\u68ee\u770c/14\u6d25\u8efd\u68ee\u6797\u8a08\u753b\u533aTKY2JGD/\u7b2c10\u7cfb/\u6797\u9053.fgb"}}</t>
  </si>
  <si>
    <t>{"PARAMETERS": {"2": "'E:/G\u7a7a\u9593\u60c5\u5831\u30bb\u30f3\u30bf\u30fc/02\u9752\u68ee\u770c/14\u6d25\u8efd\u68ee\u6797\u8a08\u753b\u533a/\u7b2c10\u7cfb/\u4f5c\u696d\u9053.shp'", "crsjgd2000": "QgsCoordinateReferenceSystem('EPSG:2452')"}, "OUTPUTS": {"": "E:/G\u7a7a\u9593\u60c5\u5831\u30bb\u30f3\u30bf\u30fc/02\u9752\u68ee\u770c/14\u6d25\u8efd\u68ee\u6797\u8a08\u753b\u533aTKY2JGD/\u7b2c10\u7cfb/\u4f5c\u696d\u9053.fgb"}}</t>
  </si>
  <si>
    <t>{"PARAMETERS": {"2": "'E:/G\u7a7a\u9593\u60c5\u5831\u30bb\u30f3\u30bf\u30fc/02\u9752\u68ee\u770c/14\u6d25\u8efd\u68ee\u6797\u8a08\u753b\u533a/\u7b2c10\u7cfb/\u7b49\u9ad8\u7dda10m\u9593\u9694.shp'", "crsjgd2000": "QgsCoordinateReferenceSystem('EPSG:2452')"}, "OUTPUTS": {"": "E:/G\u7a7a\u9593\u60c5\u5831\u30bb\u30f3\u30bf\u30fc/02\u9752\u68ee\u770c/14\u6d25\u8efd\u68ee\u6797\u8a08\u753b\u533aTKY2JGD/\u7b2c10\u7cfb/\u7b49\u9ad8\u7dda10m\u9593\u9694.fgb"}}</t>
  </si>
  <si>
    <t>{"PARAMETERS": {"2": "'E:/G\u7a7a\u9593\u60c5\u5831\u30bb\u30f3\u30bf\u30fc/02\u9752\u68ee\u770c/15\u6771\u9752\u68ee\u6797\u8a08\u753b\u533a/\u7b2c10\u7cfb/\u5883\u754c.shp'", "crsjgd2000": "QgsCoordinateReferenceSystem('EPSG:2452')"}, "OUTPUTS": {"": "E:/G\u7a7a\u9593\u60c5\u5831\u30bb\u30f3\u30bf\u30fc/02\u9752\u68ee\u770c/15\u6771\u9752\u68ee\u6797\u8a08\u753b\u533aTKY2JGD/\u7b2c10\u7cfb/\u5883\u754c.fgb"}}</t>
  </si>
  <si>
    <t>{"PARAMETERS": {"2": "'E:/G\u7a7a\u9593\u60c5\u5831\u30bb\u30f3\u30bf\u30fc/02\u9752\u68ee\u770c/15\u6771\u9752\u68ee\u6797\u8a08\u753b\u533a/\u7b2c10\u7cfb/\u6797\u73ed\u754c.shp'", "crsjgd2000": "QgsCoordinateReferenceSystem('EPSG:2452')"}, "OUTPUTS": {"": "E:/G\u7a7a\u9593\u60c5\u5831\u30bb\u30f3\u30bf\u30fc/02\u9752\u68ee\u770c/15\u6771\u9752\u68ee\u6797\u8a08\u753b\u533aTKY2JGD/\u7b2c10\u7cfb/\u6797\u73ed\u754c.fgb"}}</t>
  </si>
  <si>
    <t>{"PARAMETERS": {"2": "'E:/G\u7a7a\u9593\u60c5\u5831\u30bb\u30f3\u30bf\u30fc/02\u9752\u68ee\u770c/15\u6771\u9752\u68ee\u6797\u8a08\u753b\u533a/\u7b2c10\u7cfb/\u6797\u73ed\u533a\u753b.shp'", "crsjgd2000": "QgsCoordinateReferenceSystem('EPSG:2452')"}, "OUTPUTS": {"": "E:/G\u7a7a\u9593\u60c5\u5831\u30bb\u30f3\u30bf\u30fc/02\u9752\u68ee\u770c/15\u6771\u9752\u68ee\u6797\u8a08\u753b\u533aTKY2JGD/\u7b2c10\u7cfb/\u6797\u73ed\u533a\u753b.fgb"}}</t>
  </si>
  <si>
    <t>{"PARAMETERS": {"2": "'E:/G\u7a7a\u9593\u60c5\u5831\u30bb\u30f3\u30bf\u30fc/02\u9752\u68ee\u770c/15\u6771\u9752\u68ee\u6797\u8a08\u753b\u533a/\u7b2c10\u7cfb/\u5c0f\u73ed\u754c.shp'", "crsjgd2000": "QgsCoordinateReferenceSystem('EPSG:2452')"}, "OUTPUTS": {"": "E:/G\u7a7a\u9593\u60c5\u5831\u30bb\u30f3\u30bf\u30fc/02\u9752\u68ee\u770c/15\u6771\u9752\u68ee\u6797\u8a08\u753b\u533aTKY2JGD/\u7b2c10\u7cfb/\u5c0f\u73ed\u754c.fgb"}}</t>
  </si>
  <si>
    <t>{"PARAMETERS": {"2": "'E:/G\u7a7a\u9593\u60c5\u5831\u30bb\u30f3\u30bf\u30fc/02\u9752\u68ee\u770c/15\u6771\u9752\u68ee\u6797\u8a08\u753b\u533a/\u7b2c10\u7cfb/\u5c0f\u73ed\u533a\u753b.shp'", "crsjgd2000": "QgsCoordinateReferenceSystem('EPSG:2452')"}, "OUTPUTS": {"": "E:/G\u7a7a\u9593\u60c5\u5831\u30bb\u30f3\u30bf\u30fc/02\u9752\u68ee\u770c/15\u6771\u9752\u68ee\u6797\u8a08\u753b\u533aTKY2JGD/\u7b2c10\u7cfb/\u5c0f\u73ed\u533a\u753b.fgb"}}</t>
  </si>
  <si>
    <t>{"PARAMETERS": {"2": "'E:/G\u7a7a\u9593\u60c5\u5831\u30bb\u30f3\u30bf\u30fc/02\u9752\u68ee\u770c/15\u6771\u9752\u68ee\u6797\u8a08\u753b\u533a/\u7b2c10\u7cfb/\u6797\u9053.shp'", "crsjgd2000": "QgsCoordinateReferenceSystem('EPSG:2452')"}, "OUTPUTS": {"": "E:/G\u7a7a\u9593\u60c5\u5831\u30bb\u30f3\u30bf\u30fc/02\u9752\u68ee\u770c/15\u6771\u9752\u68ee\u6797\u8a08\u753b\u533aTKY2JGD/\u7b2c10\u7cfb/\u6797\u9053.fgb"}}</t>
  </si>
  <si>
    <t>{"PARAMETERS": {"2": "'E:/G\u7a7a\u9593\u60c5\u5831\u30bb\u30f3\u30bf\u30fc/02\u9752\u68ee\u770c/15\u6771\u9752\u68ee\u6797\u8a08\u753b\u533a/\u7b2c10\u7cfb/\u4f5c\u696d\u9053.shp'", "crsjgd2000": "QgsCoordinateReferenceSystem('EPSG:2452')"}, "OUTPUTS": {"": "E:/G\u7a7a\u9593\u60c5\u5831\u30bb\u30f3\u30bf\u30fc/02\u9752\u68ee\u770c/15\u6771\u9752\u68ee\u6797\u8a08\u753b\u533aTKY2JGD/\u7b2c10\u7cfb/\u4f5c\u696d\u9053.fgb"}}</t>
  </si>
  <si>
    <t>{"PARAMETERS": {"2": "'E:/G\u7a7a\u9593\u60c5\u5831\u30bb\u30f3\u30bf\u30fc/02\u9752\u68ee\u770c/15\u6771\u9752\u68ee\u6797\u8a08\u753b\u533a/\u7b2c10\u7cfb/\u7b49\u9ad8\u7dda10m\u9593\u9694.shp'", "crsjgd2000": "QgsCoordinateReferenceSystem('EPSG:2452')"}, "OUTPUTS": {"": "E:/G\u7a7a\u9593\u60c5\u5831\u30bb\u30f3\u30bf\u30fc/02\u9752\u68ee\u770c/15\u6771\u9752\u68ee\u6797\u8a08\u753b\u533aTKY2JGD/\u7b2c10\u7cfb/\u7b49\u9ad8\u7dda10m\u9593\u9694.fgb"}}</t>
  </si>
  <si>
    <t>{"PARAMETERS": {"2": "'E:/G\u7a7a\u9593\u60c5\u5831\u30bb\u30f3\u30bf\u30fc/02\u9752\u68ee\u770c/16\u4e0b\u5317\u68ee\u6797\u8a08\u753b\u533a/\u7b2c10\u7cfb/\u5883\u754c.shp'", "crsjgd2000": "QgsCoordinateReferenceSystem('EPSG:2452')"}, "OUTPUTS": {"": "E:/G\u7a7a\u9593\u60c5\u5831\u30bb\u30f3\u30bf\u30fc/02\u9752\u68ee\u770c/16\u4e0b\u5317\u68ee\u6797\u8a08\u753b\u533aTKY2JGD/\u7b2c10\u7cfb/\u5883\u754c.fgb"}}</t>
  </si>
  <si>
    <t>{"PARAMETERS": {"2": "'E:/G\u7a7a\u9593\u60c5\u5831\u30bb\u30f3\u30bf\u30fc/02\u9752\u68ee\u770c/16\u4e0b\u5317\u68ee\u6797\u8a08\u753b\u533a/\u7b2c10\u7cfb/\u6797\u73ed\u754c.shp'", "crsjgd2000": "QgsCoordinateReferenceSystem('EPSG:2452')"}, "OUTPUTS": {"": "E:/G\u7a7a\u9593\u60c5\u5831\u30bb\u30f3\u30bf\u30fc/02\u9752\u68ee\u770c/16\u4e0b\u5317\u68ee\u6797\u8a08\u753b\u533aTKY2JGD/\u7b2c10\u7cfb/\u6797\u73ed\u754c.fgb"}}</t>
  </si>
  <si>
    <t>{"PARAMETERS": {"2": "'E:/G\u7a7a\u9593\u60c5\u5831\u30bb\u30f3\u30bf\u30fc/02\u9752\u68ee\u770c/16\u4e0b\u5317\u68ee\u6797\u8a08\u753b\u533a/\u7b2c10\u7cfb/\u6797\u73ed\u533a\u753b.shp'", "crsjgd2000": "QgsCoordinateReferenceSystem('EPSG:2452')"}, "OUTPUTS": {"": "E:/G\u7a7a\u9593\u60c5\u5831\u30bb\u30f3\u30bf\u30fc/02\u9752\u68ee\u770c/16\u4e0b\u5317\u68ee\u6797\u8a08\u753b\u533aTKY2JGD/\u7b2c10\u7cfb/\u6797\u73ed\u533a\u753b.fgb"}}</t>
  </si>
  <si>
    <t>{"PARAMETERS": {"2": "'E:/G\u7a7a\u9593\u60c5\u5831\u30bb\u30f3\u30bf\u30fc/02\u9752\u68ee\u770c/16\u4e0b\u5317\u68ee\u6797\u8a08\u753b\u533a/\u7b2c10\u7cfb/\u5c0f\u73ed\u754c.shp'", "crsjgd2000": "QgsCoordinateReferenceSystem('EPSG:2452')"}, "OUTPUTS": {"": "E:/G\u7a7a\u9593\u60c5\u5831\u30bb\u30f3\u30bf\u30fc/02\u9752\u68ee\u770c/16\u4e0b\u5317\u68ee\u6797\u8a08\u753b\u533aTKY2JGD/\u7b2c10\u7cfb/\u5c0f\u73ed\u754c.fgb"}}</t>
  </si>
  <si>
    <t>{"PARAMETERS": {"2": "'E:/G\u7a7a\u9593\u60c5\u5831\u30bb\u30f3\u30bf\u30fc/02\u9752\u68ee\u770c/16\u4e0b\u5317\u68ee\u6797\u8a08\u753b\u533a/\u7b2c10\u7cfb/\u5c0f\u73ed\u533a\u753b.shp'", "crsjgd2000": "QgsCoordinateReferenceSystem('EPSG:2452')"}, "OUTPUTS": {"": "E:/G\u7a7a\u9593\u60c5\u5831\u30bb\u30f3\u30bf\u30fc/02\u9752\u68ee\u770c/16\u4e0b\u5317\u68ee\u6797\u8a08\u753b\u533aTKY2JGD/\u7b2c10\u7cfb/\u5c0f\u73ed\u533a\u753b.fgb"}}</t>
  </si>
  <si>
    <t>{"PARAMETERS": {"2": "'E:/G\u7a7a\u9593\u60c5\u5831\u30bb\u30f3\u30bf\u30fc/02\u9752\u68ee\u770c/16\u4e0b\u5317\u68ee\u6797\u8a08\u753b\u533a/\u7b2c10\u7cfb/\u6797\u9053.shp'", "crsjgd2000": "QgsCoordinateReferenceSystem('EPSG:2452')"}, "OUTPUTS": {"": "E:/G\u7a7a\u9593\u60c5\u5831\u30bb\u30f3\u30bf\u30fc/02\u9752\u68ee\u770c/16\u4e0b\u5317\u68ee\u6797\u8a08\u753b\u533aTKY2JGD/\u7b2c10\u7cfb/\u6797\u9053.fgb"}}</t>
  </si>
  <si>
    <t>{"PARAMETERS": {"2": "'E:/G\u7a7a\u9593\u60c5\u5831\u30bb\u30f3\u30bf\u30fc/02\u9752\u68ee\u770c/16\u4e0b\u5317\u68ee\u6797\u8a08\u753b\u533a/\u7b2c10\u7cfb/\u4f5c\u696d\u9053.shp'", "crsjgd2000": "QgsCoordinateReferenceSystem('EPSG:2452')"}, "OUTPUTS": {"": "E:/G\u7a7a\u9593\u60c5\u5831\u30bb\u30f3\u30bf\u30fc/02\u9752\u68ee\u770c/16\u4e0b\u5317\u68ee\u6797\u8a08\u753b\u533aTKY2JGD/\u7b2c10\u7cfb/\u4f5c\u696d\u9053.fgb"}}</t>
  </si>
  <si>
    <t>{"PARAMETERS": {"2": "'E:/G\u7a7a\u9593\u60c5\u5831\u30bb\u30f3\u30bf\u30fc/02\u9752\u68ee\u770c/16\u4e0b\u5317\u68ee\u6797\u8a08\u753b\u533a/\u7b2c10\u7cfb/\u7b49\u9ad8\u7dda10m\u9593\u9694.shp'", "crsjgd2000": "QgsCoordinateReferenceSystem('EPSG:2452')"}, "OUTPUTS": {"": "E:/G\u7a7a\u9593\u60c5\u5831\u30bb\u30f3\u30bf\u30fc/02\u9752\u68ee\u770c/16\u4e0b\u5317\u68ee\u6797\u8a08\u753b\u533aTKY2JGD/\u7b2c10\u7cfb/\u7b49\u9ad8\u7dda10m\u9593\u9694.fgb"}}</t>
  </si>
  <si>
    <t>{"PARAMETERS": {"2": "'E:/G\u7a7a\u9593\u60c5\u5831\u30bb\u30f3\u30bf\u30fc/02\u9752\u68ee\u770c/17\u4e09\u516b\u4e0a\u5317\u68ee\u6797\u8a08\u753b\u533a/\u7b2c10\u7cfb/\u5883\u754c.shp'", "crsjgd2000": "QgsCoordinateReferenceSystem('EPSG:2452')"}, "OUTPUTS": {"": "E:/G\u7a7a\u9593\u60c5\u5831\u30bb\u30f3\u30bf\u30fc/02\u9752\u68ee\u770c/17\u4e09\u516b\u4e0a\u5317\u68ee\u6797\u8a08\u753b\u533aTKY2JGD/\u7b2c10\u7cfb/\u5883\u754c.fgb"}}</t>
  </si>
  <si>
    <t>{"PARAMETERS": {"2": "'E:/G\u7a7a\u9593\u60c5\u5831\u30bb\u30f3\u30bf\u30fc/02\u9752\u68ee\u770c/17\u4e09\u516b\u4e0a\u5317\u68ee\u6797\u8a08\u753b\u533a/\u7b2c10\u7cfb/\u6797\u73ed\u754c.shp'", "crsjgd2000": "QgsCoordinateReferenceSystem('EPSG:2452')"}, "OUTPUTS": {"": "E:/G\u7a7a\u9593\u60c5\u5831\u30bb\u30f3\u30bf\u30fc/02\u9752\u68ee\u770c/17\u4e09\u516b\u4e0a\u5317\u68ee\u6797\u8a08\u753b\u533aTKY2JGD/\u7b2c10\u7cfb/\u6797\u73ed\u754c.fgb"}}</t>
  </si>
  <si>
    <t>{"PARAMETERS": {"2": "'E:/G\u7a7a\u9593\u60c5\u5831\u30bb\u30f3\u30bf\u30fc/02\u9752\u68ee\u770c/17\u4e09\u516b\u4e0a\u5317\u68ee\u6797\u8a08\u753b\u533a/\u7b2c10\u7cfb/\u6797\u73ed\u533a\u753b.shp'", "crsjgd2000": "QgsCoordinateReferenceSystem('EPSG:2452')"}, "OUTPUTS": {"": "E:/G\u7a7a\u9593\u60c5\u5831\u30bb\u30f3\u30bf\u30fc/02\u9752\u68ee\u770c/17\u4e09\u516b\u4e0a\u5317\u68ee\u6797\u8a08\u753b\u533aTKY2JGD/\u7b2c10\u7cfb/\u6797\u73ed\u533a\u753b.fgb"}}</t>
  </si>
  <si>
    <t>{"PARAMETERS": {"2": "'E:/G\u7a7a\u9593\u60c5\u5831\u30bb\u30f3\u30bf\u30fc/02\u9752\u68ee\u770c/17\u4e09\u516b\u4e0a\u5317\u68ee\u6797\u8a08\u753b\u533a/\u7b2c10\u7cfb/\u5c0f\u73ed\u754c.shp'", "crsjgd2000": "QgsCoordinateReferenceSystem('EPSG:2452')"}, "OUTPUTS": {"": "E:/G\u7a7a\u9593\u60c5\u5831\u30bb\u30f3\u30bf\u30fc/02\u9752\u68ee\u770c/17\u4e09\u516b\u4e0a\u5317\u68ee\u6797\u8a08\u753b\u533aTKY2JGD/\u7b2c10\u7cfb/\u5c0f\u73ed\u754c.fgb"}}</t>
  </si>
  <si>
    <t>{"PARAMETERS": {"2": "'E:/G\u7a7a\u9593\u60c5\u5831\u30bb\u30f3\u30bf\u30fc/02\u9752\u68ee\u770c/17\u4e09\u516b\u4e0a\u5317\u68ee\u6797\u8a08\u753b\u533a/\u7b2c10\u7cfb/\u5c0f\u73ed\u533a\u753b.shp'", "crsjgd2000": "QgsCoordinateReferenceSystem('EPSG:2452')"}, "OUTPUTS": {"": "E:/G\u7a7a\u9593\u60c5\u5831\u30bb\u30f3\u30bf\u30fc/02\u9752\u68ee\u770c/17\u4e09\u516b\u4e0a\u5317\u68ee\u6797\u8a08\u753b\u533aTKY2JGD/\u7b2c10\u7cfb/\u5c0f\u73ed\u533a\u753b.fgb"}}</t>
  </si>
  <si>
    <t>{"PARAMETERS": {"2": "'E:/G\u7a7a\u9593\u60c5\u5831\u30bb\u30f3\u30bf\u30fc/02\u9752\u68ee\u770c/17\u4e09\u516b\u4e0a\u5317\u68ee\u6797\u8a08\u753b\u533a/\u7b2c10\u7cfb/\u6797\u9053.shp'", "crsjgd2000": "QgsCoordinateReferenceSystem('EPSG:2452')"}, "OUTPUTS": {"": "E:/G\u7a7a\u9593\u60c5\u5831\u30bb\u30f3\u30bf\u30fc/02\u9752\u68ee\u770c/17\u4e09\u516b\u4e0a\u5317\u68ee\u6797\u8a08\u753b\u533aTKY2JGD/\u7b2c10\u7cfb/\u6797\u9053.fgb"}}</t>
  </si>
  <si>
    <t>{"PARAMETERS": {"2": "'E:/G\u7a7a\u9593\u60c5\u5831\u30bb\u30f3\u30bf\u30fc/02\u9752\u68ee\u770c/17\u4e09\u516b\u4e0a\u5317\u68ee\u6797\u8a08\u753b\u533a/\u7b2c10\u7cfb/\u4f5c\u696d\u9053.shp'", "crsjgd2000": "QgsCoordinateReferenceSystem('EPSG:2452')"}, "OUTPUTS": {"": "E:/G\u7a7a\u9593\u60c5\u5831\u30bb\u30f3\u30bf\u30fc/02\u9752\u68ee\u770c/17\u4e09\u516b\u4e0a\u5317\u68ee\u6797\u8a08\u753b\u533aTKY2JGD/\u7b2c10\u7cfb/\u4f5c\u696d\u9053.fgb"}}</t>
  </si>
  <si>
    <t>{"PARAMETERS": {"2": "'E:/G\u7a7a\u9593\u60c5\u5831\u30bb\u30f3\u30bf\u30fc/02\u9752\u68ee\u770c/17\u4e09\u516b\u4e0a\u5317\u68ee\u6797\u8a08\u753b\u533a/\u7b2c10\u7cfb/\u7b49\u9ad8\u7dda10m\u9593\u9694.shp'", "crsjgd2000": "QgsCoordinateReferenceSystem('EPSG:2452')"}, "OUTPUTS": {"": "E:/G\u7a7a\u9593\u60c5\u5831\u30bb\u30f3\u30bf\u30fc/02\u9752\u68ee\u770c/17\u4e09\u516b\u4e0a\u5317\u68ee\u6797\u8a08\u753b\u533aTKY2JGD/\u7b2c10\u7cfb/\u7b49\u9ad8\u7dda10m\u9593\u9694.fgb"}}</t>
  </si>
  <si>
    <t>{"PARAMETERS": {"2": "'E:/G\u7a7a\u9593\u60c5\u5831\u30bb\u30f3\u30bf\u30fc/03\u5ca9\u624b\u770c/18\u99ac\u6df5\u5ddd\u4e0a\u6d41\u68ee\u6797\u8a08\u753b\u533a/\u7b2c10\u7cfb/\u5883\u754c.shp'", "crsjgd2000": "QgsCoordinateReferenceSystem('EPSG:2452')"}, "OUTPUTS": {"": "E:/G\u7a7a\u9593\u60c5\u5831\u30bb\u30f3\u30bf\u30fc/03\u5ca9\u624b\u770c/18\u99ac\u6df5\u5ddd\u4e0a\u6d41\u68ee\u6797\u8a08\u753b\u533aTKY2JGD/\u7b2c10\u7cfb/\u5883\u754c.fgb"}}</t>
  </si>
  <si>
    <t>{"PARAMETERS": {"2": "'E:/G\u7a7a\u9593\u60c5\u5831\u30bb\u30f3\u30bf\u30fc/03\u5ca9\u624b\u770c/18\u99ac\u6df5\u5ddd\u4e0a\u6d41\u68ee\u6797\u8a08\u753b\u533a/\u7b2c10\u7cfb/\u6797\u73ed\u754c.shp'", "crsjgd2000": "QgsCoordinateReferenceSystem('EPSG:2452')"}, "OUTPUTS": {"": "E:/G\u7a7a\u9593\u60c5\u5831\u30bb\u30f3\u30bf\u30fc/03\u5ca9\u624b\u770c/18\u99ac\u6df5\u5ddd\u4e0a\u6d41\u68ee\u6797\u8a08\u753b\u533aTKY2JGD/\u7b2c10\u7cfb/\u6797\u73ed\u754c.fgb"}}</t>
  </si>
  <si>
    <t>{"PARAMETERS": {"2": "'E:/G\u7a7a\u9593\u60c5\u5831\u30bb\u30f3\u30bf\u30fc/03\u5ca9\u624b\u770c/18\u99ac\u6df5\u5ddd\u4e0a\u6d41\u68ee\u6797\u8a08\u753b\u533a/\u7b2c10\u7cfb/\u6797\u73ed\u533a\u753b.shp'", "crsjgd2000": "QgsCoordinateReferenceSystem('EPSG:2452')"}, "OUTPUTS": {"": "E:/G\u7a7a\u9593\u60c5\u5831\u30bb\u30f3\u30bf\u30fc/03\u5ca9\u624b\u770c/18\u99ac\u6df5\u5ddd\u4e0a\u6d41\u68ee\u6797\u8a08\u753b\u533aTKY2JGD/\u7b2c10\u7cfb/\u6797\u73ed\u533a\u753b.fgb"}}</t>
  </si>
  <si>
    <t>{"PARAMETERS": {"2": "'E:/G\u7a7a\u9593\u60c5\u5831\u30bb\u30f3\u30bf\u30fc/03\u5ca9\u624b\u770c/18\u99ac\u6df5\u5ddd\u4e0a\u6d41\u68ee\u6797\u8a08\u753b\u533a/\u7b2c10\u7cfb/\u5c0f\u73ed\u754c.shp'", "crsjgd2000": "QgsCoordinateReferenceSystem('EPSG:2452')"}, "OUTPUTS": {"": "E:/G\u7a7a\u9593\u60c5\u5831\u30bb\u30f3\u30bf\u30fc/03\u5ca9\u624b\u770c/18\u99ac\u6df5\u5ddd\u4e0a\u6d41\u68ee\u6797\u8a08\u753b\u533aTKY2JGD/\u7b2c10\u7cfb/\u5c0f\u73ed\u754c.fgb"}}</t>
  </si>
  <si>
    <t>{"PARAMETERS": {"2": "'E:/G\u7a7a\u9593\u60c5\u5831\u30bb\u30f3\u30bf\u30fc/03\u5ca9\u624b\u770c/18\u99ac\u6df5\u5ddd\u4e0a\u6d41\u68ee\u6797\u8a08\u753b\u533a/\u7b2c10\u7cfb/\u5c0f\u73ed\u533a\u753b.shp'", "crsjgd2000": "QgsCoordinateReferenceSystem('EPSG:2452')"}, "OUTPUTS": {"": "E:/G\u7a7a\u9593\u60c5\u5831\u30bb\u30f3\u30bf\u30fc/03\u5ca9\u624b\u770c/18\u99ac\u6df5\u5ddd\u4e0a\u6d41\u68ee\u6797\u8a08\u753b\u533aTKY2JGD/\u7b2c10\u7cfb/\u5c0f\u73ed\u533a\u753b.fgb"}}</t>
  </si>
  <si>
    <t>{"PARAMETERS": {"2": "'E:/G\u7a7a\u9593\u60c5\u5831\u30bb\u30f3\u30bf\u30fc/03\u5ca9\u624b\u770c/18\u99ac\u6df5\u5ddd\u4e0a\u6d41\u68ee\u6797\u8a08\u753b\u533a/\u7b2c10\u7cfb/\u6797\u9053.shp'", "crsjgd2000": "QgsCoordinateReferenceSystem('EPSG:2452')"}, "OUTPUTS": {"": "E:/G\u7a7a\u9593\u60c5\u5831\u30bb\u30f3\u30bf\u30fc/03\u5ca9\u624b\u770c/18\u99ac\u6df5\u5ddd\u4e0a\u6d41\u68ee\u6797\u8a08\u753b\u533aTKY2JGD/\u7b2c10\u7cfb/\u6797\u9053.fgb"}}</t>
  </si>
  <si>
    <t>{"PARAMETERS": {"2": "'E:/G\u7a7a\u9593\u60c5\u5831\u30bb\u30f3\u30bf\u30fc/03\u5ca9\u624b\u770c/18\u99ac\u6df5\u5ddd\u4e0a\u6d41\u68ee\u6797\u8a08\u753b\u533a/\u7b2c10\u7cfb/\u4f5c\u696d\u9053.shp'", "crsjgd2000": "QgsCoordinateReferenceSystem('EPSG:2452')"}, "OUTPUTS": {"": "E:/G\u7a7a\u9593\u60c5\u5831\u30bb\u30f3\u30bf\u30fc/03\u5ca9\u624b\u770c/18\u99ac\u6df5\u5ddd\u4e0a\u6d41\u68ee\u6797\u8a08\u753b\u533aTKY2JGD/\u7b2c10\u7cfb/\u4f5c\u696d\u9053.fgb"}}</t>
  </si>
  <si>
    <t>{"PARAMETERS": {"2": "'E:/G\u7a7a\u9593\u60c5\u5831\u30bb\u30f3\u30bf\u30fc/03\u5ca9\u624b\u770c/18\u99ac\u6df5\u5ddd\u4e0a\u6d41\u68ee\u6797\u8a08\u753b\u533a/\u7b2c10\u7cfb/\u7b49\u9ad8\u7dda10m\u9593\u9694.shp'", "crsjgd2000": "QgsCoordinateReferenceSystem('EPSG:2452')"}, "OUTPUTS": {"": "E:/G\u7a7a\u9593\u60c5\u5831\u30bb\u30f3\u30bf\u30fc/03\u5ca9\u624b\u770c/18\u99ac\u6df5\u5ddd\u4e0a\u6d41\u68ee\u6797\u8a08\u753b\u533aTKY2JGD/\u7b2c10\u7cfb/\u7b49\u9ad8\u7dda10m\u9593\u9694.fgb"}}</t>
  </si>
  <si>
    <t>{"PARAMETERS": {"2": "'E:/G\u7a7a\u9593\u60c5\u5831\u30bb\u30f3\u30bf\u30fc/03\u5ca9\u624b\u770c/19\u4e45\u6148\u30fb\u9589\u4f0a\u5ddd\u68ee\u6797\u8a08\u753b\u533a/\u7b2c10\u7cfb/\u5883\u754c.shp'", "crsjgd2000": "QgsCoordinateReferenceSystem('EPSG:2452')"}, "OUTPUTS": {"": "E:/G\u7a7a\u9593\u60c5\u5831\u30bb\u30f3\u30bf\u30fc/03\u5ca9\u624b\u770c/19\u4e45\u6148\u30fb\u9589\u4f0a\u5ddd\u68ee\u6797\u8a08\u753b\u533aTKY2JGD/\u7b2c10\u7cfb/\u5883\u754c.fgb"}}</t>
  </si>
  <si>
    <t>{"PARAMETERS": {"2": "'E:/G\u7a7a\u9593\u60c5\u5831\u30bb\u30f3\u30bf\u30fc/03\u5ca9\u624b\u770c/19\u4e45\u6148\u30fb\u9589\u4f0a\u5ddd\u68ee\u6797\u8a08\u753b\u533a/\u7b2c10\u7cfb/\u6797\u73ed\u754c.shp'", "crsjgd2000": "QgsCoordinateReferenceSystem('EPSG:2452')"}, "OUTPUTS": {"": "E:/G\u7a7a\u9593\u60c5\u5831\u30bb\u30f3\u30bf\u30fc/03\u5ca9\u624b\u770c/19\u4e45\u6148\u30fb\u9589\u4f0a\u5ddd\u68ee\u6797\u8a08\u753b\u533aTKY2JGD/\u7b2c10\u7cfb/\u6797\u73ed\u754c.fgb"}}</t>
  </si>
  <si>
    <t>{"PARAMETERS": {"2": "'E:/G\u7a7a\u9593\u60c5\u5831\u30bb\u30f3\u30bf\u30fc/03\u5ca9\u624b\u770c/19\u4e45\u6148\u30fb\u9589\u4f0a\u5ddd\u68ee\u6797\u8a08\u753b\u533a/\u7b2c10\u7cfb/\u6797\u73ed\u533a\u753b.shp'", "crsjgd2000": "QgsCoordinateReferenceSystem('EPSG:2452')"}, "OUTPUTS": {"": "E:/G\u7a7a\u9593\u60c5\u5831\u30bb\u30f3\u30bf\u30fc/03\u5ca9\u624b\u770c/19\u4e45\u6148\u30fb\u9589\u4f0a\u5ddd\u68ee\u6797\u8a08\u753b\u533aTKY2JGD/\u7b2c10\u7cfb/\u6797\u73ed\u533a\u753b.fgb"}}</t>
  </si>
  <si>
    <t>{"PARAMETERS": {"2": "'E:/G\u7a7a\u9593\u60c5\u5831\u30bb\u30f3\u30bf\u30fc/03\u5ca9\u624b\u770c/19\u4e45\u6148\u30fb\u9589\u4f0a\u5ddd\u68ee\u6797\u8a08\u753b\u533a/\u7b2c10\u7cfb/\u5c0f\u73ed\u754c.shp'", "crsjgd2000": "QgsCoordinateReferenceSystem('EPSG:2452')"}, "OUTPUTS": {"": "E:/G\u7a7a\u9593\u60c5\u5831\u30bb\u30f3\u30bf\u30fc/03\u5ca9\u624b\u770c/19\u4e45\u6148\u30fb\u9589\u4f0a\u5ddd\u68ee\u6797\u8a08\u753b\u533aTKY2JGD/\u7b2c10\u7cfb/\u5c0f\u73ed\u754c.fgb"}}</t>
  </si>
  <si>
    <t>{"PARAMETERS": {"2": "'E:/G\u7a7a\u9593\u60c5\u5831\u30bb\u30f3\u30bf\u30fc/03\u5ca9\u624b\u770c/19\u4e45\u6148\u30fb\u9589\u4f0a\u5ddd\u68ee\u6797\u8a08\u753b\u533a/\u7b2c10\u7cfb/\u5c0f\u73ed\u533a\u753b.shp'", "crsjgd2000": "QgsCoordinateReferenceSystem('EPSG:2452')"}, "OUTPUTS": {"": "E:/G\u7a7a\u9593\u60c5\u5831\u30bb\u30f3\u30bf\u30fc/03\u5ca9\u624b\u770c/19\u4e45\u6148\u30fb\u9589\u4f0a\u5ddd\u68ee\u6797\u8a08\u753b\u533aTKY2JGD/\u7b2c10\u7cfb/\u5c0f\u73ed\u533a\u753b.fgb"}}</t>
  </si>
  <si>
    <t>{"PARAMETERS": {"2": "'E:/G\u7a7a\u9593\u60c5\u5831\u30bb\u30f3\u30bf\u30fc/03\u5ca9\u624b\u770c/19\u4e45\u6148\u30fb\u9589\u4f0a\u5ddd\u68ee\u6797\u8a08\u753b\u533a/\u7b2c10\u7cfb/\u6797\u9053.shp'", "crsjgd2000": "QgsCoordinateReferenceSystem('EPSG:2452')"}, "OUTPUTS": {"": "E:/G\u7a7a\u9593\u60c5\u5831\u30bb\u30f3\u30bf\u30fc/03\u5ca9\u624b\u770c/19\u4e45\u6148\u30fb\u9589\u4f0a\u5ddd\u68ee\u6797\u8a08\u753b\u533aTKY2JGD/\u7b2c10\u7cfb/\u6797\u9053.fgb"}}</t>
  </si>
  <si>
    <t>{"PARAMETERS": {"2": "'E:/G\u7a7a\u9593\u60c5\u5831\u30bb\u30f3\u30bf\u30fc/03\u5ca9\u624b\u770c/19\u4e45\u6148\u30fb\u9589\u4f0a\u5ddd\u68ee\u6797\u8a08\u753b\u533a/\u7b2c10\u7cfb/\u4f5c\u696d\u9053.shp'", "crsjgd2000": "QgsCoordinateReferenceSystem('EPSG:2452')"}, "OUTPUTS": {"": "E:/G\u7a7a\u9593\u60c5\u5831\u30bb\u30f3\u30bf\u30fc/03\u5ca9\u624b\u770c/19\u4e45\u6148\u30fb\u9589\u4f0a\u5ddd\u68ee\u6797\u8a08\u753b\u533aTKY2JGD/\u7b2c10\u7cfb/\u4f5c\u696d\u9053.fgb"}}</t>
  </si>
  <si>
    <t>{"PARAMETERS": {"2": "'E:/G\u7a7a\u9593\u60c5\u5831\u30bb\u30f3\u30bf\u30fc/03\u5ca9\u624b\u770c/19\u4e45\u6148\u30fb\u9589\u4f0a\u5ddd\u68ee\u6797\u8a08\u753b\u533a/\u7b2c10\u7cfb/\u7b49\u9ad8\u7dda10m\u9593\u9694.shp'", "crsjgd2000": "QgsCoordinateReferenceSystem('EPSG:2452')"}, "OUTPUTS": {"": "E:/G\u7a7a\u9593\u60c5\u5831\u30bb\u30f3\u30bf\u30fc/03\u5ca9\u624b\u770c/19\u4e45\u6148\u30fb\u9589\u4f0a\u5ddd\u68ee\u6797\u8a08\u753b\u533aTKY2JGD/\u7b2c10\u7cfb/\u7b49\u9ad8\u7dda10m\u9593\u9694.fgb"}}</t>
  </si>
  <si>
    <t>{"PARAMETERS": {"2": "'E:/G\u7a7a\u9593\u60c5\u5831\u30bb\u30f3\u30bf\u30fc/03\u5ca9\u624b\u770c/20\u5927\u69cc\u30fb\u6c17\u4ed9\u5ddd\u68ee\u6797\u8a08\u753b\u533a/\u7b2c10\u7cfb/\u5883\u754c.shp'", "crsjgd2000": "QgsCoordinateReferenceSystem('EPSG:2452')"}, "OUTPUTS": {"": "E:/G\u7a7a\u9593\u60c5\u5831\u30bb\u30f3\u30bf\u30fc/03\u5ca9\u624b\u770c/20\u5927\u69cc\u30fb\u6c17\u4ed9\u5ddd\u68ee\u6797\u8a08\u753b\u533aTKY2JGD/\u7b2c10\u7cfb/\u5883\u754c.fgb"}}</t>
  </si>
  <si>
    <t>{"PARAMETERS": {"2": "'E:/G\u7a7a\u9593\u60c5\u5831\u30bb\u30f3\u30bf\u30fc/03\u5ca9\u624b\u770c/20\u5927\u69cc\u30fb\u6c17\u4ed9\u5ddd\u68ee\u6797\u8a08\u753b\u533a/\u7b2c10\u7cfb/\u6797\u73ed\u754c.shp'", "crsjgd2000": "QgsCoordinateReferenceSystem('EPSG:2452')"}, "OUTPUTS": {"": "E:/G\u7a7a\u9593\u60c5\u5831\u30bb\u30f3\u30bf\u30fc/03\u5ca9\u624b\u770c/20\u5927\u69cc\u30fb\u6c17\u4ed9\u5ddd\u68ee\u6797\u8a08\u753b\u533aTKY2JGD/\u7b2c10\u7cfb/\u6797\u73ed\u754c.fgb"}}</t>
  </si>
  <si>
    <t>{"PARAMETERS": {"2": "'E:/G\u7a7a\u9593\u60c5\u5831\u30bb\u30f3\u30bf\u30fc/03\u5ca9\u624b\u770c/20\u5927\u69cc\u30fb\u6c17\u4ed9\u5ddd\u68ee\u6797\u8a08\u753b\u533a/\u7b2c10\u7cfb/\u6797\u73ed\u533a\u753b.shp'", "crsjgd2000": "QgsCoordinateReferenceSystem('EPSG:2452')"}, "OUTPUTS": {"": "E:/G\u7a7a\u9593\u60c5\u5831\u30bb\u30f3\u30bf\u30fc/03\u5ca9\u624b\u770c/20\u5927\u69cc\u30fb\u6c17\u4ed9\u5ddd\u68ee\u6797\u8a08\u753b\u533aTKY2JGD/\u7b2c10\u7cfb/\u6797\u73ed\u533a\u753b.fgb"}}</t>
  </si>
  <si>
    <t>{"PARAMETERS": {"2": "'E:/G\u7a7a\u9593\u60c5\u5831\u30bb\u30f3\u30bf\u30fc/03\u5ca9\u624b\u770c/20\u5927\u69cc\u30fb\u6c17\u4ed9\u5ddd\u68ee\u6797\u8a08\u753b\u533a/\u7b2c10\u7cfb/\u5c0f\u73ed\u754c.shp'", "crsjgd2000": "QgsCoordinateReferenceSystem('EPSG:2452')"}, "OUTPUTS": {"": "E:/G\u7a7a\u9593\u60c5\u5831\u30bb\u30f3\u30bf\u30fc/03\u5ca9\u624b\u770c/20\u5927\u69cc\u30fb\u6c17\u4ed9\u5ddd\u68ee\u6797\u8a08\u753b\u533aTKY2JGD/\u7b2c10\u7cfb/\u5c0f\u73ed\u754c.fgb"}}</t>
  </si>
  <si>
    <t>{"PARAMETERS": {"2": "'E:/G\u7a7a\u9593\u60c5\u5831\u30bb\u30f3\u30bf\u30fc/03\u5ca9\u624b\u770c/20\u5927\u69cc\u30fb\u6c17\u4ed9\u5ddd\u68ee\u6797\u8a08\u753b\u533a/\u7b2c10\u7cfb/\u5c0f\u73ed\u533a\u753b.shp'", "crsjgd2000": "QgsCoordinateReferenceSystem('EPSG:2452')"}, "OUTPUTS": {"": "E:/G\u7a7a\u9593\u60c5\u5831\u30bb\u30f3\u30bf\u30fc/03\u5ca9\u624b\u770c/20\u5927\u69cc\u30fb\u6c17\u4ed9\u5ddd\u68ee\u6797\u8a08\u753b\u533aTKY2JGD/\u7b2c10\u7cfb/\u5c0f\u73ed\u533a\u753b.fgb"}}</t>
  </si>
  <si>
    <t>{"PARAMETERS": {"2": "'E:/G\u7a7a\u9593\u60c5\u5831\u30bb\u30f3\u30bf\u30fc/03\u5ca9\u624b\u770c/20\u5927\u69cc\u30fb\u6c17\u4ed9\u5ddd\u68ee\u6797\u8a08\u753b\u533a/\u7b2c10\u7cfb/\u6797\u9053.shp'", "crsjgd2000": "QgsCoordinateReferenceSystem('EPSG:2452')"}, "OUTPUTS": {"": "E:/G\u7a7a\u9593\u60c5\u5831\u30bb\u30f3\u30bf\u30fc/03\u5ca9\u624b\u770c/20\u5927\u69cc\u30fb\u6c17\u4ed9\u5ddd\u68ee\u6797\u8a08\u753b\u533aTKY2JGD/\u7b2c10\u7cfb/\u6797\u9053.fgb"}}</t>
  </si>
  <si>
    <t>{"PARAMETERS": {"2": "'E:/G\u7a7a\u9593\u60c5\u5831\u30bb\u30f3\u30bf\u30fc/03\u5ca9\u624b\u770c/20\u5927\u69cc\u30fb\u6c17\u4ed9\u5ddd\u68ee\u6797\u8a08\u753b\u533a/\u7b2c10\u7cfb/\u4f5c\u696d\u9053.shp'", "crsjgd2000": "QgsCoordinateReferenceSystem('EPSG:2452')"}, "OUTPUTS": {"": "E:/G\u7a7a\u9593\u60c5\u5831\u30bb\u30f3\u30bf\u30fc/03\u5ca9\u624b\u770c/20\u5927\u69cc\u30fb\u6c17\u4ed9\u5ddd\u68ee\u6797\u8a08\u753b\u533aTKY2JGD/\u7b2c10\u7cfb/\u4f5c\u696d\u9053.fgb"}}</t>
  </si>
  <si>
    <t>{"PARAMETERS": {"2": "'E:/G\u7a7a\u9593\u60c5\u5831\u30bb\u30f3\u30bf\u30fc/03\u5ca9\u624b\u770c/20\u5927\u69cc\u30fb\u6c17\u4ed9\u5ddd\u68ee\u6797\u8a08\u753b\u533a/\u7b2c10\u7cfb/\u7b49\u9ad8\u7dda10m\u9593\u9694.shp'", "crsjgd2000": "QgsCoordinateReferenceSystem('EPSG:2452')"}, "OUTPUTS": {"": "E:/G\u7a7a\u9593\u60c5\u5831\u30bb\u30f3\u30bf\u30fc/03\u5ca9\u624b\u770c/20\u5927\u69cc\u30fb\u6c17\u4ed9\u5ddd\u68ee\u6797\u8a08\u753b\u533aTKY2JGD/\u7b2c10\u7cfb/\u7b49\u9ad8\u7dda10m\u9593\u9694.fgb"}}</t>
  </si>
  <si>
    <t>{"PARAMETERS": {"2": "'E:/G\u7a7a\u9593\u60c5\u5831\u30bb\u30f3\u30bf\u30fc/03\u5ca9\u624b\u770c/21\u5317\u4e0a\u5ddd\u4e0a\u6d41\u68ee\u6797\u8a08\u753b\u533a/\u7b2c10\u7cfb/\u5883\u754c.shp'", "crsjgd2000": "QgsCoordinateReferenceSystem('EPSG:2452')"}, "OUTPUTS": {"": "E:/G\u7a7a\u9593\u60c5\u5831\u30bb\u30f3\u30bf\u30fc/03\u5ca9\u624b\u770c/21\u5317\u4e0a\u5ddd\u4e0a\u6d41\u68ee\u6797\u8a08\u753b\u533aTKY2JGD/\u7b2c10\u7cfb/\u5883\u754c.fgb"}}</t>
  </si>
  <si>
    <t>{"PARAMETERS": {"2": "'E:/G\u7a7a\u9593\u60c5\u5831\u30bb\u30f3\u30bf\u30fc/03\u5ca9\u624b\u770c/21\u5317\u4e0a\u5ddd\u4e0a\u6d41\u68ee\u6797\u8a08\u753b\u533a/\u7b2c10\u7cfb/\u6797\u73ed\u754c.shp'", "crsjgd2000": "QgsCoordinateReferenceSystem('EPSG:2452')"}, "OUTPUTS": {"": "E:/G\u7a7a\u9593\u60c5\u5831\u30bb\u30f3\u30bf\u30fc/03\u5ca9\u624b\u770c/21\u5317\u4e0a\u5ddd\u4e0a\u6d41\u68ee\u6797\u8a08\u753b\u533aTKY2JGD/\u7b2c10\u7cfb/\u6797\u73ed\u754c.fgb"}}</t>
  </si>
  <si>
    <t>{"PARAMETERS": {"2": "'E:/G\u7a7a\u9593\u60c5\u5831\u30bb\u30f3\u30bf\u30fc/03\u5ca9\u624b\u770c/21\u5317\u4e0a\u5ddd\u4e0a\u6d41\u68ee\u6797\u8a08\u753b\u533a/\u7b2c10\u7cfb/\u6797\u73ed\u533a\u753b.shp'", "crsjgd2000": "QgsCoordinateReferenceSystem('EPSG:2452')"}, "OUTPUTS": {"": "E:/G\u7a7a\u9593\u60c5\u5831\u30bb\u30f3\u30bf\u30fc/03\u5ca9\u624b\u770c/21\u5317\u4e0a\u5ddd\u4e0a\u6d41\u68ee\u6797\u8a08\u753b\u533aTKY2JGD/\u7b2c10\u7cfb/\u6797\u73ed\u533a\u753b.fgb"}}</t>
  </si>
  <si>
    <t>{"PARAMETERS": {"2": "'E:/G\u7a7a\u9593\u60c5\u5831\u30bb\u30f3\u30bf\u30fc/03\u5ca9\u624b\u770c/21\u5317\u4e0a\u5ddd\u4e0a\u6d41\u68ee\u6797\u8a08\u753b\u533a/\u7b2c10\u7cfb/\u5c0f\u73ed\u754c.shp'", "crsjgd2000": "QgsCoordinateReferenceSystem('EPSG:2452')"}, "OUTPUTS": {"": "E:/G\u7a7a\u9593\u60c5\u5831\u30bb\u30f3\u30bf\u30fc/03\u5ca9\u624b\u770c/21\u5317\u4e0a\u5ddd\u4e0a\u6d41\u68ee\u6797\u8a08\u753b\u533aTKY2JGD/\u7b2c10\u7cfb/\u5c0f\u73ed\u754c.fgb"}}</t>
  </si>
  <si>
    <t>{"PARAMETERS": {"2": "'E:/G\u7a7a\u9593\u60c5\u5831\u30bb\u30f3\u30bf\u30fc/03\u5ca9\u624b\u770c/21\u5317\u4e0a\u5ddd\u4e0a\u6d41\u68ee\u6797\u8a08\u753b\u533a/\u7b2c10\u7cfb/\u5c0f\u73ed\u533a\u753b.shp'", "crsjgd2000": "QgsCoordinateReferenceSystem('EPSG:2452')"}, "OUTPUTS": {"": "E:/G\u7a7a\u9593\u60c5\u5831\u30bb\u30f3\u30bf\u30fc/03\u5ca9\u624b\u770c/21\u5317\u4e0a\u5ddd\u4e0a\u6d41\u68ee\u6797\u8a08\u753b\u533aTKY2JGD/\u7b2c10\u7cfb/\u5c0f\u73ed\u533a\u753b.fgb"}}</t>
  </si>
  <si>
    <t>{"PARAMETERS": {"2": "'E:/G\u7a7a\u9593\u60c5\u5831\u30bb\u30f3\u30bf\u30fc/03\u5ca9\u624b\u770c/21\u5317\u4e0a\u5ddd\u4e0a\u6d41\u68ee\u6797\u8a08\u753b\u533a/\u7b2c10\u7cfb/\u6797\u9053.shp'", "crsjgd2000": "QgsCoordinateReferenceSystem('EPSG:2452')"}, "OUTPUTS": {"": "E:/G\u7a7a\u9593\u60c5\u5831\u30bb\u30f3\u30bf\u30fc/03\u5ca9\u624b\u770c/21\u5317\u4e0a\u5ddd\u4e0a\u6d41\u68ee\u6797\u8a08\u753b\u533aTKY2JGD/\u7b2c10\u7cfb/\u6797\u9053.fgb"}}</t>
  </si>
  <si>
    <t>{"PARAMETERS": {"2": "'E:/G\u7a7a\u9593\u60c5\u5831\u30bb\u30f3\u30bf\u30fc/03\u5ca9\u624b\u770c/21\u5317\u4e0a\u5ddd\u4e0a\u6d41\u68ee\u6797\u8a08\u753b\u533a/\u7b2c10\u7cfb/\u4f5c\u696d\u9053.shp'", "crsjgd2000": "QgsCoordinateReferenceSystem('EPSG:2452')"}, "OUTPUTS": {"": "E:/G\u7a7a\u9593\u60c5\u5831\u30bb\u30f3\u30bf\u30fc/03\u5ca9\u624b\u770c/21\u5317\u4e0a\u5ddd\u4e0a\u6d41\u68ee\u6797\u8a08\u753b\u533aTKY2JGD/\u7b2c10\u7cfb/\u4f5c\u696d\u9053.fgb"}}</t>
  </si>
  <si>
    <t>{"PARAMETERS": {"2": "'E:/G\u7a7a\u9593\u60c5\u5831\u30bb\u30f3\u30bf\u30fc/03\u5ca9\u624b\u770c/21\u5317\u4e0a\u5ddd\u4e0a\u6d41\u68ee\u6797\u8a08\u753b\u533a/\u7b2c10\u7cfb/\u7b49\u9ad8\u7dda10m\u9593\u9694.shp'", "crsjgd2000": "QgsCoordinateReferenceSystem('EPSG:2452')"}, "OUTPUTS": {"": "E:/G\u7a7a\u9593\u60c5\u5831\u30bb\u30f3\u30bf\u30fc/03\u5ca9\u624b\u770c/21\u5317\u4e0a\u5ddd\u4e0a\u6d41\u68ee\u6797\u8a08\u753b\u533aTKY2JGD/\u7b2c10\u7cfb/\u7b49\u9ad8\u7dda10m\u9593\u9694.fgb"}}</t>
  </si>
  <si>
    <t>{"PARAMETERS": {"2": "'E:/G\u7a7a\u9593\u60c5\u5831\u30bb\u30f3\u30bf\u30fc/03\u5ca9\u624b\u770c/22\u5317\u4e0a\u5ddd\u4e2d\u6d41\u68ee\u6797\u8a08\u753b\u533a/\u7b2c10\u7cfb/\u5883\u754c.shp'", "crsjgd2000": "QgsCoordinateReferenceSystem('EPSG:2452')"}, "OUTPUTS": {"": "E:/G\u7a7a\u9593\u60c5\u5831\u30bb\u30f3\u30bf\u30fc/03\u5ca9\u624b\u770c/22\u5317\u4e0a\u5ddd\u4e2d\u6d41\u68ee\u6797\u8a08\u753b\u533aTKY2JGD/\u7b2c10\u7cfb/\u5883\u754c.fgb"}}</t>
  </si>
  <si>
    <t>{"PARAMETERS": {"2": "'E:/G\u7a7a\u9593\u60c5\u5831\u30bb\u30f3\u30bf\u30fc/03\u5ca9\u624b\u770c/22\u5317\u4e0a\u5ddd\u4e2d\u6d41\u68ee\u6797\u8a08\u753b\u533a/\u7b2c10\u7cfb/\u6797\u73ed\u754c.shp'", "crsjgd2000": "QgsCoordinateReferenceSystem('EPSG:2452')"}, "OUTPUTS": {"": "E:/G\u7a7a\u9593\u60c5\u5831\u30bb\u30f3\u30bf\u30fc/03\u5ca9\u624b\u770c/22\u5317\u4e0a\u5ddd\u4e2d\u6d41\u68ee\u6797\u8a08\u753b\u533aTKY2JGD/\u7b2c10\u7cfb/\u6797\u73ed\u754c.fgb"}}</t>
  </si>
  <si>
    <t>{"PARAMETERS": {"2": "'E:/G\u7a7a\u9593\u60c5\u5831\u30bb\u30f3\u30bf\u30fc/03\u5ca9\u624b\u770c/22\u5317\u4e0a\u5ddd\u4e2d\u6d41\u68ee\u6797\u8a08\u753b\u533a/\u7b2c10\u7cfb/\u6797\u73ed\u533a\u753b.shp'", "crsjgd2000": "QgsCoordinateReferenceSystem('EPSG:2452')"}, "OUTPUTS": {"": "E:/G\u7a7a\u9593\u60c5\u5831\u30bb\u30f3\u30bf\u30fc/03\u5ca9\u624b\u770c/22\u5317\u4e0a\u5ddd\u4e2d\u6d41\u68ee\u6797\u8a08\u753b\u533aTKY2JGD/\u7b2c10\u7cfb/\u6797\u73ed\u533a\u753b.fgb"}}</t>
  </si>
  <si>
    <t>{"PARAMETERS": {"2": "'E:/G\u7a7a\u9593\u60c5\u5831\u30bb\u30f3\u30bf\u30fc/03\u5ca9\u624b\u770c/22\u5317\u4e0a\u5ddd\u4e2d\u6d41\u68ee\u6797\u8a08\u753b\u533a/\u7b2c10\u7cfb/\u5c0f\u73ed\u754c.shp'", "crsjgd2000": "QgsCoordinateReferenceSystem('EPSG:2452')"}, "OUTPUTS": {"": "E:/G\u7a7a\u9593\u60c5\u5831\u30bb\u30f3\u30bf\u30fc/03\u5ca9\u624b\u770c/22\u5317\u4e0a\u5ddd\u4e2d\u6d41\u68ee\u6797\u8a08\u753b\u533aTKY2JGD/\u7b2c10\u7cfb/\u5c0f\u73ed\u754c.fgb"}}</t>
  </si>
  <si>
    <t>{"PARAMETERS": {"2": "'E:/G\u7a7a\u9593\u60c5\u5831\u30bb\u30f3\u30bf\u30fc/03\u5ca9\u624b\u770c/22\u5317\u4e0a\u5ddd\u4e2d\u6d41\u68ee\u6797\u8a08\u753b\u533a/\u7b2c10\u7cfb/\u5c0f\u73ed\u533a\u753b.shp'", "crsjgd2000": "QgsCoordinateReferenceSystem('EPSG:2452')"}, "OUTPUTS": {"": "E:/G\u7a7a\u9593\u60c5\u5831\u30bb\u30f3\u30bf\u30fc/03\u5ca9\u624b\u770c/22\u5317\u4e0a\u5ddd\u4e2d\u6d41\u68ee\u6797\u8a08\u753b\u533aTKY2JGD/\u7b2c10\u7cfb/\u5c0f\u73ed\u533a\u753b.fgb"}}</t>
  </si>
  <si>
    <t>{"PARAMETERS": {"2": "'E:/G\u7a7a\u9593\u60c5\u5831\u30bb\u30f3\u30bf\u30fc/03\u5ca9\u624b\u770c/22\u5317\u4e0a\u5ddd\u4e2d\u6d41\u68ee\u6797\u8a08\u753b\u533a/\u7b2c10\u7cfb/\u6797\u9053.shp'", "crsjgd2000": "QgsCoordinateReferenceSystem('EPSG:2452')"}, "OUTPUTS": {"": "E:/G\u7a7a\u9593\u60c5\u5831\u30bb\u30f3\u30bf\u30fc/03\u5ca9\u624b\u770c/22\u5317\u4e0a\u5ddd\u4e2d\u6d41\u68ee\u6797\u8a08\u753b\u533aTKY2JGD/\u7b2c10\u7cfb/\u6797\u9053.fgb"}}</t>
  </si>
  <si>
    <t>{"PARAMETERS": {"2": "'E:/G\u7a7a\u9593\u60c5\u5831\u30bb\u30f3\u30bf\u30fc/03\u5ca9\u624b\u770c/22\u5317\u4e0a\u5ddd\u4e2d\u6d41\u68ee\u6797\u8a08\u753b\u533a/\u7b2c10\u7cfb/\u4f5c\u696d\u9053.shp'", "crsjgd2000": "QgsCoordinateReferenceSystem('EPSG:2452')"}, "OUTPUTS": {"": "E:/G\u7a7a\u9593\u60c5\u5831\u30bb\u30f3\u30bf\u30fc/03\u5ca9\u624b\u770c/22\u5317\u4e0a\u5ddd\u4e2d\u6d41\u68ee\u6797\u8a08\u753b\u533aTKY2JGD/\u7b2c10\u7cfb/\u4f5c\u696d\u9053.fgb"}}</t>
  </si>
  <si>
    <t>{"PARAMETERS": {"2": "'E:/G\u7a7a\u9593\u60c5\u5831\u30bb\u30f3\u30bf\u30fc/03\u5ca9\u624b\u770c/22\u5317\u4e0a\u5ddd\u4e2d\u6d41\u68ee\u6797\u8a08\u753b\u533a/\u7b2c10\u7cfb/\u7b49\u9ad8\u7dda10m\u9593\u9694.shp'", "crsjgd2000": "QgsCoordinateReferenceSystem('EPSG:2452')"}, "OUTPUTS": {"": "E:/G\u7a7a\u9593\u60c5\u5831\u30bb\u30f3\u30bf\u30fc/03\u5ca9\u624b\u770c/22\u5317\u4e0a\u5ddd\u4e2d\u6d41\u68ee\u6797\u8a08\u753b\u533aTKY2JGD/\u7b2c10\u7cfb/\u7b49\u9ad8\u7dda10m\u9593\u9694.fgb"}}</t>
  </si>
  <si>
    <t>{"PARAMETERS": {"2": "'E:/G\u7a7a\u9593\u60c5\u5831\u30bb\u30f3\u30bf\u30fc/04\u5bae\u57ce\u770c/23\u5bae\u57ce\u5317\u90e8\u68ee\u6797\u8a08\u753b\u533a/\u7b2c10\u7cfb/\u5883\u754c.shp'", "crsjgd2000": "QgsCoordinateReferenceSystem('EPSG:2452')"}, "OUTPUTS": {"": "E:/G\u7a7a\u9593\u60c5\u5831\u30bb\u30f3\u30bf\u30fc/04\u5bae\u57ce\u770c/23\u5bae\u57ce\u5317\u90e8\u68ee\u6797\u8a08\u753b\u533aTKY2JGD/\u7b2c10\u7cfb/\u5883\u754c.fgb"}}</t>
  </si>
  <si>
    <t>{"PARAMETERS": {"2": "'E:/G\u7a7a\u9593\u60c5\u5831\u30bb\u30f3\u30bf\u30fc/04\u5bae\u57ce\u770c/23\u5bae\u57ce\u5317\u90e8\u68ee\u6797\u8a08\u753b\u533a/\u7b2c10\u7cfb/\u6797\u73ed\u754c.shp'", "crsjgd2000": "QgsCoordinateReferenceSystem('EPSG:2452')"}, "OUTPUTS": {"": "E:/G\u7a7a\u9593\u60c5\u5831\u30bb\u30f3\u30bf\u30fc/04\u5bae\u57ce\u770c/23\u5bae\u57ce\u5317\u90e8\u68ee\u6797\u8a08\u753b\u533aTKY2JGD/\u7b2c10\u7cfb/\u6797\u73ed\u754c.fgb"}}</t>
  </si>
  <si>
    <t>{"PARAMETERS": {"2": "'E:/G\u7a7a\u9593\u60c5\u5831\u30bb\u30f3\u30bf\u30fc/04\u5bae\u57ce\u770c/23\u5bae\u57ce\u5317\u90e8\u68ee\u6797\u8a08\u753b\u533a/\u7b2c10\u7cfb/\u6797\u73ed\u533a\u753b.shp'", "crsjgd2000": "QgsCoordinateReferenceSystem('EPSG:2452')"}, "OUTPUTS": {"": "E:/G\u7a7a\u9593\u60c5\u5831\u30bb\u30f3\u30bf\u30fc/04\u5bae\u57ce\u770c/23\u5bae\u57ce\u5317\u90e8\u68ee\u6797\u8a08\u753b\u533aTKY2JGD/\u7b2c10\u7cfb/\u6797\u73ed\u533a\u753b.fgb"}}</t>
  </si>
  <si>
    <t>{"PARAMETERS": {"2": "'E:/G\u7a7a\u9593\u60c5\u5831\u30bb\u30f3\u30bf\u30fc/04\u5bae\u57ce\u770c/23\u5bae\u57ce\u5317\u90e8\u68ee\u6797\u8a08\u753b\u533a/\u7b2c10\u7cfb/\u5c0f\u73ed\u754c.shp'", "crsjgd2000": "QgsCoordinateReferenceSystem('EPSG:2452')"}, "OUTPUTS": {"": "E:/G\u7a7a\u9593\u60c5\u5831\u30bb\u30f3\u30bf\u30fc/04\u5bae\u57ce\u770c/23\u5bae\u57ce\u5317\u90e8\u68ee\u6797\u8a08\u753b\u533aTKY2JGD/\u7b2c10\u7cfb/\u5c0f\u73ed\u754c.fgb"}}</t>
  </si>
  <si>
    <t>{"PARAMETERS": {"2": "'E:/G\u7a7a\u9593\u60c5\u5831\u30bb\u30f3\u30bf\u30fc/04\u5bae\u57ce\u770c/23\u5bae\u57ce\u5317\u90e8\u68ee\u6797\u8a08\u753b\u533a/\u7b2c10\u7cfb/\u5c0f\u73ed\u533a\u753b.shp'", "crsjgd2000": "QgsCoordinateReferenceSystem('EPSG:2452')"}, "OUTPUTS": {"": "E:/G\u7a7a\u9593\u60c5\u5831\u30bb\u30f3\u30bf\u30fc/04\u5bae\u57ce\u770c/23\u5bae\u57ce\u5317\u90e8\u68ee\u6797\u8a08\u753b\u533aTKY2JGD/\u7b2c10\u7cfb/\u5c0f\u73ed\u533a\u753b.fgb"}}</t>
  </si>
  <si>
    <t>{"PARAMETERS": {"2": "'E:/G\u7a7a\u9593\u60c5\u5831\u30bb\u30f3\u30bf\u30fc/04\u5bae\u57ce\u770c/23\u5bae\u57ce\u5317\u90e8\u68ee\u6797\u8a08\u753b\u533a/\u7b2c10\u7cfb/\u6797\u9053.shp'", "crsjgd2000": "QgsCoordinateReferenceSystem('EPSG:2452')"}, "OUTPUTS": {"": "E:/G\u7a7a\u9593\u60c5\u5831\u30bb\u30f3\u30bf\u30fc/04\u5bae\u57ce\u770c/23\u5bae\u57ce\u5317\u90e8\u68ee\u6797\u8a08\u753b\u533aTKY2JGD/\u7b2c10\u7cfb/\u6797\u9053.fgb"}}</t>
  </si>
  <si>
    <t>{"PARAMETERS": {"2": "'E:/G\u7a7a\u9593\u60c5\u5831\u30bb\u30f3\u30bf\u30fc/04\u5bae\u57ce\u770c/23\u5bae\u57ce\u5317\u90e8\u68ee\u6797\u8a08\u753b\u533a/\u7b2c10\u7cfb/\u4f5c\u696d\u9053.shp'", "crsjgd2000": "QgsCoordinateReferenceSystem('EPSG:2452')"}, "OUTPUTS": {"": "E:/G\u7a7a\u9593\u60c5\u5831\u30bb\u30f3\u30bf\u30fc/04\u5bae\u57ce\u770c/23\u5bae\u57ce\u5317\u90e8\u68ee\u6797\u8a08\u753b\u533aTKY2JGD/\u7b2c10\u7cfb/\u4f5c\u696d\u9053.fgb"}}</t>
  </si>
  <si>
    <t>{"PARAMETERS": {"2": "'E:/G\u7a7a\u9593\u60c5\u5831\u30bb\u30f3\u30bf\u30fc/04\u5bae\u57ce\u770c/23\u5bae\u57ce\u5317\u90e8\u68ee\u6797\u8a08\u753b\u533a/\u7b2c10\u7cfb/\u7b49\u9ad8\u7dda10m\u9593\u9694.shp'", "crsjgd2000": "QgsCoordinateReferenceSystem('EPSG:2452')"}, "OUTPUTS": {"": "E:/G\u7a7a\u9593\u60c5\u5831\u30bb\u30f3\u30bf\u30fc/04\u5bae\u57ce\u770c/23\u5bae\u57ce\u5317\u90e8\u68ee\u6797\u8a08\u753b\u533aTKY2JGD/\u7b2c10\u7cfb/\u7b49\u9ad8\u7dda10m\u9593\u9694.fgb"}}</t>
  </si>
  <si>
    <t>{"PARAMETERS": {"2": "'E:/G\u7a7a\u9593\u60c5\u5831\u30bb\u30f3\u30bf\u30fc/04\u5bae\u57ce\u770c/24\u5bae\u57ce\u5357\u90e8\u68ee\u6797\u8a08\u753b\u533a/\u7b2c10\u7cfb/\u5883\u754c.shp'", "crsjgd2000": "QgsCoordinateReferenceSystem('EPSG:2452')"}, "OUTPUTS": {"": "E:/G\u7a7a\u9593\u60c5\u5831\u30bb\u30f3\u30bf\u30fc/04\u5bae\u57ce\u770c/24\u5bae\u57ce\u5357\u90e8\u68ee\u6797\u8a08\u753b\u533aTKY2JGD/\u7b2c10\u7cfb/\u5883\u754c.fgb"}}</t>
  </si>
  <si>
    <t>{"PARAMETERS": {"2": "'E:/G\u7a7a\u9593\u60c5\u5831\u30bb\u30f3\u30bf\u30fc/04\u5bae\u57ce\u770c/24\u5bae\u57ce\u5357\u90e8\u68ee\u6797\u8a08\u753b\u533a/\u7b2c10\u7cfb/\u6797\u73ed\u754c.shp'", "crsjgd2000": "QgsCoordinateReferenceSystem('EPSG:2452')"}, "OUTPUTS": {"": "E:/G\u7a7a\u9593\u60c5\u5831\u30bb\u30f3\u30bf\u30fc/04\u5bae\u57ce\u770c/24\u5bae\u57ce\u5357\u90e8\u68ee\u6797\u8a08\u753b\u533aTKY2JGD/\u7b2c10\u7cfb/\u6797\u73ed\u754c.fgb"}}</t>
  </si>
  <si>
    <t>{"PARAMETERS": {"2": "'E:/G\u7a7a\u9593\u60c5\u5831\u30bb\u30f3\u30bf\u30fc/04\u5bae\u57ce\u770c/24\u5bae\u57ce\u5357\u90e8\u68ee\u6797\u8a08\u753b\u533a/\u7b2c10\u7cfb/\u6797\u73ed\u533a\u753b.shp'", "crsjgd2000": "QgsCoordinateReferenceSystem('EPSG:2452')"}, "OUTPUTS": {"": "E:/G\u7a7a\u9593\u60c5\u5831\u30bb\u30f3\u30bf\u30fc/04\u5bae\u57ce\u770c/24\u5bae\u57ce\u5357\u90e8\u68ee\u6797\u8a08\u753b\u533aTKY2JGD/\u7b2c10\u7cfb/\u6797\u73ed\u533a\u753b.fgb"}}</t>
  </si>
  <si>
    <t>{"PARAMETERS": {"2": "'E:/G\u7a7a\u9593\u60c5\u5831\u30bb\u30f3\u30bf\u30fc/04\u5bae\u57ce\u770c/24\u5bae\u57ce\u5357\u90e8\u68ee\u6797\u8a08\u753b\u533a/\u7b2c10\u7cfb/\u5c0f\u73ed\u754c.shp'", "crsjgd2000": "QgsCoordinateReferenceSystem('EPSG:2452')"}, "OUTPUTS": {"": "E:/G\u7a7a\u9593\u60c5\u5831\u30bb\u30f3\u30bf\u30fc/04\u5bae\u57ce\u770c/24\u5bae\u57ce\u5357\u90e8\u68ee\u6797\u8a08\u753b\u533aTKY2JGD/\u7b2c10\u7cfb/\u5c0f\u73ed\u754c.fgb"}}</t>
  </si>
  <si>
    <t>{"PARAMETERS": {"2": "'E:/G\u7a7a\u9593\u60c5\u5831\u30bb\u30f3\u30bf\u30fc/04\u5bae\u57ce\u770c/24\u5bae\u57ce\u5357\u90e8\u68ee\u6797\u8a08\u753b\u533a/\u7b2c10\u7cfb/\u5c0f\u73ed\u533a\u753b.shp'", "crsjgd2000": "QgsCoordinateReferenceSystem('EPSG:2452')"}, "OUTPUTS": {"": "E:/G\u7a7a\u9593\u60c5\u5831\u30bb\u30f3\u30bf\u30fc/04\u5bae\u57ce\u770c/24\u5bae\u57ce\u5357\u90e8\u68ee\u6797\u8a08\u753b\u533aTKY2JGD/\u7b2c10\u7cfb/\u5c0f\u73ed\u533a\u753b.fgb"}}</t>
  </si>
  <si>
    <t>{"PARAMETERS": {"2": "'E:/G\u7a7a\u9593\u60c5\u5831\u30bb\u30f3\u30bf\u30fc/04\u5bae\u57ce\u770c/24\u5bae\u57ce\u5357\u90e8\u68ee\u6797\u8a08\u753b\u533a/\u7b2c10\u7cfb/\u6797\u9053.shp'", "crsjgd2000": "QgsCoordinateReferenceSystem('EPSG:2452')"}, "OUTPUTS": {"": "E:/G\u7a7a\u9593\u60c5\u5831\u30bb\u30f3\u30bf\u30fc/04\u5bae\u57ce\u770c/24\u5bae\u57ce\u5357\u90e8\u68ee\u6797\u8a08\u753b\u533aTKY2JGD/\u7b2c10\u7cfb/\u6797\u9053.fgb"}}</t>
  </si>
  <si>
    <t>{"PARAMETERS": {"2": "'E:/G\u7a7a\u9593\u60c5\u5831\u30bb\u30f3\u30bf\u30fc/04\u5bae\u57ce\u770c/24\u5bae\u57ce\u5357\u90e8\u68ee\u6797\u8a08\u753b\u533a/\u7b2c10\u7cfb/\u4f5c\u696d\u9053.shp'", "crsjgd2000": "QgsCoordinateReferenceSystem('EPSG:2452')"}, "OUTPUTS": {"": "E:/G\u7a7a\u9593\u60c5\u5831\u30bb\u30f3\u30bf\u30fc/04\u5bae\u57ce\u770c/24\u5bae\u57ce\u5357\u90e8\u68ee\u6797\u8a08\u753b\u533aTKY2JGD/\u7b2c10\u7cfb/\u4f5c\u696d\u9053.fgb"}}</t>
  </si>
  <si>
    <t>{"PARAMETERS": {"2": "'E:/G\u7a7a\u9593\u60c5\u5831\u30bb\u30f3\u30bf\u30fc/04\u5bae\u57ce\u770c/24\u5bae\u57ce\u5357\u90e8\u68ee\u6797\u8a08\u753b\u533a/\u7b2c10\u7cfb/\u7b49\u9ad8\u7dda10m\u9593\u9694.shp'", "crsjgd2000": "QgsCoordinateReferenceSystem('EPSG:2452')"}, "OUTPUTS": {"": "E:/G\u7a7a\u9593\u60c5\u5831\u30bb\u30f3\u30bf\u30fc/04\u5bae\u57ce\u770c/24\u5bae\u57ce\u5357\u90e8\u68ee\u6797\u8a08\u753b\u533aTKY2JGD/\u7b2c10\u7cfb/\u7b49\u9ad8\u7dda10m\u9593\u9694.fgb"}}</t>
  </si>
  <si>
    <t>{"PARAMETERS": {"2": "'E:/G\u7a7a\u9593\u60c5\u5831\u30bb\u30f3\u30bf\u30fc/05\u79cb\u7530\u770c/25\u7c73\u4ee3\u5ddd\u68ee\u6797\u8a08\u753b\u533a/\u7b2c10\u7cfb/\u5883\u754c.shp'", "crsjgd2000": "QgsCoordinateReferenceSystem('EPSG:2452')"}, "OUTPUTS": {"": "E:/G\u7a7a\u9593\u60c5\u5831\u30bb\u30f3\u30bf\u30fc/05\u79cb\u7530\u770c/25\u7c73\u4ee3\u5ddd\u68ee\u6797\u8a08\u753b\u533aTKY2JGD/\u7b2c10\u7cfb/\u5883\u754c.fgb"}}</t>
  </si>
  <si>
    <t>{"PARAMETERS": {"2": "'E:/G\u7a7a\u9593\u60c5\u5831\u30bb\u30f3\u30bf\u30fc/05\u79cb\u7530\u770c/25\u7c73\u4ee3\u5ddd\u68ee\u6797\u8a08\u753b\u533a/\u7b2c10\u7cfb/\u6797\u73ed\u754c.shp'", "crsjgd2000": "QgsCoordinateReferenceSystem('EPSG:2452')"}, "OUTPUTS": {"": "E:/G\u7a7a\u9593\u60c5\u5831\u30bb\u30f3\u30bf\u30fc/05\u79cb\u7530\u770c/25\u7c73\u4ee3\u5ddd\u68ee\u6797\u8a08\u753b\u533aTKY2JGD/\u7b2c10\u7cfb/\u6797\u73ed\u754c.fgb"}}</t>
  </si>
  <si>
    <t>{"PARAMETERS": {"2": "'E:/G\u7a7a\u9593\u60c5\u5831\u30bb\u30f3\u30bf\u30fc/05\u79cb\u7530\u770c/25\u7c73\u4ee3\u5ddd\u68ee\u6797\u8a08\u753b\u533a/\u7b2c10\u7cfb/\u6797\u73ed\u533a\u753b.shp'", "crsjgd2000": "QgsCoordinateReferenceSystem('EPSG:2452')"}, "OUTPUTS": {"": "E:/G\u7a7a\u9593\u60c5\u5831\u30bb\u30f3\u30bf\u30fc/05\u79cb\u7530\u770c/25\u7c73\u4ee3\u5ddd\u68ee\u6797\u8a08\u753b\u533aTKY2JGD/\u7b2c10\u7cfb/\u6797\u73ed\u533a\u753b.fgb"}}</t>
  </si>
  <si>
    <t>{"PARAMETERS": {"2": "'E:/G\u7a7a\u9593\u60c5\u5831\u30bb\u30f3\u30bf\u30fc/05\u79cb\u7530\u770c/25\u7c73\u4ee3\u5ddd\u68ee\u6797\u8a08\u753b\u533a/\u7b2c10\u7cfb/\u5c0f\u73ed\u754c.shp'", "crsjgd2000": "QgsCoordinateReferenceSystem('EPSG:2452')"}, "OUTPUTS": {"": "E:/G\u7a7a\u9593\u60c5\u5831\u30bb\u30f3\u30bf\u30fc/05\u79cb\u7530\u770c/25\u7c73\u4ee3\u5ddd\u68ee\u6797\u8a08\u753b\u533aTKY2JGD/\u7b2c10\u7cfb/\u5c0f\u73ed\u754c.fgb"}}</t>
  </si>
  <si>
    <t>{"PARAMETERS": {"2": "'E:/G\u7a7a\u9593\u60c5\u5831\u30bb\u30f3\u30bf\u30fc/05\u79cb\u7530\u770c/25\u7c73\u4ee3\u5ddd\u68ee\u6797\u8a08\u753b\u533a/\u7b2c10\u7cfb/\u5c0f\u73ed\u533a\u753b.shp'", "crsjgd2000": "QgsCoordinateReferenceSystem('EPSG:2452')"}, "OUTPUTS": {"": "E:/G\u7a7a\u9593\u60c5\u5831\u30bb\u30f3\u30bf\u30fc/05\u79cb\u7530\u770c/25\u7c73\u4ee3\u5ddd\u68ee\u6797\u8a08\u753b\u533aTKY2JGD/\u7b2c10\u7cfb/\u5c0f\u73ed\u533a\u753b.fgb"}}</t>
  </si>
  <si>
    <t>{"PARAMETERS": {"2": "'E:/G\u7a7a\u9593\u60c5\u5831\u30bb\u30f3\u30bf\u30fc/05\u79cb\u7530\u770c/25\u7c73\u4ee3\u5ddd\u68ee\u6797\u8a08\u753b\u533a/\u7b2c10\u7cfb/\u6797\u9053.shp'", "crsjgd2000": "QgsCoordinateReferenceSystem('EPSG:2452')"}, "OUTPUTS": {"": "E:/G\u7a7a\u9593\u60c5\u5831\u30bb\u30f3\u30bf\u30fc/05\u79cb\u7530\u770c/25\u7c73\u4ee3\u5ddd\u68ee\u6797\u8a08\u753b\u533aTKY2JGD/\u7b2c10\u7cfb/\u6797\u9053.fgb"}}</t>
  </si>
  <si>
    <t>{"PARAMETERS": {"2": "'E:/G\u7a7a\u9593\u60c5\u5831\u30bb\u30f3\u30bf\u30fc/05\u79cb\u7530\u770c/25\u7c73\u4ee3\u5ddd\u68ee\u6797\u8a08\u753b\u533a/\u7b2c10\u7cfb/\u4f5c\u696d\u9053.shp'", "crsjgd2000": "QgsCoordinateReferenceSystem('EPSG:2452')"}, "OUTPUTS": {"": "E:/G\u7a7a\u9593\u60c5\u5831\u30bb\u30f3\u30bf\u30fc/05\u79cb\u7530\u770c/25\u7c73\u4ee3\u5ddd\u68ee\u6797\u8a08\u753b\u533aTKY2JGD/\u7b2c10\u7cfb/\u4f5c\u696d\u9053.fgb"}}</t>
  </si>
  <si>
    <t>{"PARAMETERS": {"2": "'E:/G\u7a7a\u9593\u60c5\u5831\u30bb\u30f3\u30bf\u30fc/05\u79cb\u7530\u770c/25\u7c73\u4ee3\u5ddd\u68ee\u6797\u8a08\u753b\u533a/\u7b2c10\u7cfb/\u7b49\u9ad8\u7dda10m\u9593\u9694.shp'", "crsjgd2000": "QgsCoordinateReferenceSystem('EPSG:2452')"}, "OUTPUTS": {"": "E:/G\u7a7a\u9593\u60c5\u5831\u30bb\u30f3\u30bf\u30fc/05\u79cb\u7530\u770c/25\u7c73\u4ee3\u5ddd\u68ee\u6797\u8a08\u753b\u533aTKY2JGD/\u7b2c10\u7cfb/\u7b49\u9ad8\u7dda10m\u9593\u9694.fgb"}}</t>
  </si>
  <si>
    <t>{"PARAMETERS": {"2": "'E:/G\u7a7a\u9593\u60c5\u5831\u30bb\u30f3\u30bf\u30fc/05\u79cb\u7530\u770c/26\u96c4\u7269\u5ddd\u68ee\u6797\u8a08\u753b\u533a/\u7b2c10\u7cfb/\u5883\u754c.shp'", "crsjgd2000": "QgsCoordinateReferenceSystem('EPSG:2452')"}, "OUTPUTS": {"": "E:/G\u7a7a\u9593\u60c5\u5831\u30bb\u30f3\u30bf\u30fc/05\u79cb\u7530\u770c/26\u96c4\u7269\u5ddd\u68ee\u6797\u8a08\u753b\u533aTKY2JGD/\u7b2c10\u7cfb/\u5883\u754c.fgb"}}</t>
  </si>
  <si>
    <t>{"PARAMETERS": {"2": "'E:/G\u7a7a\u9593\u60c5\u5831\u30bb\u30f3\u30bf\u30fc/05\u79cb\u7530\u770c/26\u96c4\u7269\u5ddd\u68ee\u6797\u8a08\u753b\u533a/\u7b2c10\u7cfb/\u6797\u73ed\u754c.shp'", "crsjgd2000": "QgsCoordinateReferenceSystem('EPSG:2452')"}, "OUTPUTS": {"": "E:/G\u7a7a\u9593\u60c5\u5831\u30bb\u30f3\u30bf\u30fc/05\u79cb\u7530\u770c/26\u96c4\u7269\u5ddd\u68ee\u6797\u8a08\u753b\u533aTKY2JGD/\u7b2c10\u7cfb/\u6797\u73ed\u754c.fgb"}}</t>
  </si>
  <si>
    <t>{"PARAMETERS": {"2": "'E:/G\u7a7a\u9593\u60c5\u5831\u30bb\u30f3\u30bf\u30fc/05\u79cb\u7530\u770c/26\u96c4\u7269\u5ddd\u68ee\u6797\u8a08\u753b\u533a/\u7b2c10\u7cfb/\u6797\u73ed\u533a\u753b.shp'", "crsjgd2000": "QgsCoordinateReferenceSystem('EPSG:2452')"}, "OUTPUTS": {"": "E:/G\u7a7a\u9593\u60c5\u5831\u30bb\u30f3\u30bf\u30fc/05\u79cb\u7530\u770c/26\u96c4\u7269\u5ddd\u68ee\u6797\u8a08\u753b\u533aTKY2JGD/\u7b2c10\u7cfb/\u6797\u73ed\u533a\u753b.fgb"}}</t>
  </si>
  <si>
    <t>{"PARAMETERS": {"2": "'E:/G\u7a7a\u9593\u60c5\u5831\u30bb\u30f3\u30bf\u30fc/05\u79cb\u7530\u770c/26\u96c4\u7269\u5ddd\u68ee\u6797\u8a08\u753b\u533a/\u7b2c10\u7cfb/\u5c0f\u73ed\u754c.shp'", "crsjgd2000": "QgsCoordinateReferenceSystem('EPSG:2452')"}, "OUTPUTS": {"": "E:/G\u7a7a\u9593\u60c5\u5831\u30bb\u30f3\u30bf\u30fc/05\u79cb\u7530\u770c/26\u96c4\u7269\u5ddd\u68ee\u6797\u8a08\u753b\u533aTKY2JGD/\u7b2c10\u7cfb/\u5c0f\u73ed\u754c.fgb"}}</t>
  </si>
  <si>
    <t>{"PARAMETERS": {"2": "'E:/G\u7a7a\u9593\u60c5\u5831\u30bb\u30f3\u30bf\u30fc/05\u79cb\u7530\u770c/26\u96c4\u7269\u5ddd\u68ee\u6797\u8a08\u753b\u533a/\u7b2c10\u7cfb/\u5c0f\u73ed\u533a\u753b.shp'", "crsjgd2000": "QgsCoordinateReferenceSystem('EPSG:2452')"}, "OUTPUTS": {"": "E:/G\u7a7a\u9593\u60c5\u5831\u30bb\u30f3\u30bf\u30fc/05\u79cb\u7530\u770c/26\u96c4\u7269\u5ddd\u68ee\u6797\u8a08\u753b\u533aTKY2JGD/\u7b2c10\u7cfb/\u5c0f\u73ed\u533a\u753b.fgb"}}</t>
  </si>
  <si>
    <t>{"PARAMETERS": {"2": "'E:/G\u7a7a\u9593\u60c5\u5831\u30bb\u30f3\u30bf\u30fc/05\u79cb\u7530\u770c/26\u96c4\u7269\u5ddd\u68ee\u6797\u8a08\u753b\u533a/\u7b2c10\u7cfb/\u6797\u9053.shp'", "crsjgd2000": "QgsCoordinateReferenceSystem('EPSG:2452')"}, "OUTPUTS": {"": "E:/G\u7a7a\u9593\u60c5\u5831\u30bb\u30f3\u30bf\u30fc/05\u79cb\u7530\u770c/26\u96c4\u7269\u5ddd\u68ee\u6797\u8a08\u753b\u533aTKY2JGD/\u7b2c10\u7cfb/\u6797\u9053.fgb"}}</t>
  </si>
  <si>
    <t>{"PARAMETERS": {"2": "'E:/G\u7a7a\u9593\u60c5\u5831\u30bb\u30f3\u30bf\u30fc/05\u79cb\u7530\u770c/26\u96c4\u7269\u5ddd\u68ee\u6797\u8a08\u753b\u533a/\u7b2c10\u7cfb/\u4f5c\u696d\u9053.shp'", "crsjgd2000": "QgsCoordinateReferenceSystem('EPSG:2452')"}, "OUTPUTS": {"": "E:/G\u7a7a\u9593\u60c5\u5831\u30bb\u30f3\u30bf\u30fc/05\u79cb\u7530\u770c/26\u96c4\u7269\u5ddd\u68ee\u6797\u8a08\u753b\u533aTKY2JGD/\u7b2c10\u7cfb/\u4f5c\u696d\u9053.fgb"}}</t>
  </si>
  <si>
    <t>{"PARAMETERS": {"2": "'E:/G\u7a7a\u9593\u60c5\u5831\u30bb\u30f3\u30bf\u30fc/05\u79cb\u7530\u770c/26\u96c4\u7269\u5ddd\u68ee\u6797\u8a08\u753b\u533a/\u7b2c10\u7cfb/\u7b49\u9ad8\u7dda10m\u9593\u9694.shp'", "crsjgd2000": "QgsCoordinateReferenceSystem('EPSG:2452')"}, "OUTPUTS": {"": "E:/G\u7a7a\u9593\u60c5\u5831\u30bb\u30f3\u30bf\u30fc/05\u79cb\u7530\u770c/26\u96c4\u7269\u5ddd\u68ee\u6797\u8a08\u753b\u533aTKY2JGD/\u7b2c10\u7cfb/\u7b49\u9ad8\u7dda10m\u9593\u9694.fgb"}}</t>
  </si>
  <si>
    <t>{"PARAMETERS": {"2": "'E:/G\u7a7a\u9593\u60c5\u5831\u30bb\u30f3\u30bf\u30fc/05\u79cb\u7530\u770c/27\u5b50\u5409\u5ddd\u68ee\u6797\u8a08\u753b\u533a/\u7b2c10\u7cfb/\u5883\u754c.shp'", "crsjgd2000": "QgsCoordinateReferenceSystem('EPSG:2452')"}, "OUTPUTS": {"": "E:/G\u7a7a\u9593\u60c5\u5831\u30bb\u30f3\u30bf\u30fc/05\u79cb\u7530\u770c/27\u5b50\u5409\u5ddd\u68ee\u6797\u8a08\u753b\u533aTKY2JGD/\u7b2c10\u7cfb/\u5883\u754c.fgb"}}</t>
  </si>
  <si>
    <t>{"PARAMETERS": {"2": "'E:/G\u7a7a\u9593\u60c5\u5831\u30bb\u30f3\u30bf\u30fc/05\u79cb\u7530\u770c/27\u5b50\u5409\u5ddd\u68ee\u6797\u8a08\u753b\u533a/\u7b2c10\u7cfb/\u6797\u73ed\u754c.shp'", "crsjgd2000": "QgsCoordinateReferenceSystem('EPSG:2452')"}, "OUTPUTS": {"": "E:/G\u7a7a\u9593\u60c5\u5831\u30bb\u30f3\u30bf\u30fc/05\u79cb\u7530\u770c/27\u5b50\u5409\u5ddd\u68ee\u6797\u8a08\u753b\u533aTKY2JGD/\u7b2c10\u7cfb/\u6797\u73ed\u754c.fgb"}}</t>
  </si>
  <si>
    <t>{"PARAMETERS": {"2": "'E:/G\u7a7a\u9593\u60c5\u5831\u30bb\u30f3\u30bf\u30fc/05\u79cb\u7530\u770c/27\u5b50\u5409\u5ddd\u68ee\u6797\u8a08\u753b\u533a/\u7b2c10\u7cfb/\u6797\u73ed\u533a\u753b.shp'", "crsjgd2000": "QgsCoordinateReferenceSystem('EPSG:2452')"}, "OUTPUTS": {"": "E:/G\u7a7a\u9593\u60c5\u5831\u30bb\u30f3\u30bf\u30fc/05\u79cb\u7530\u770c/27\u5b50\u5409\u5ddd\u68ee\u6797\u8a08\u753b\u533aTKY2JGD/\u7b2c10\u7cfb/\u6797\u73ed\u533a\u753b.fgb"}}</t>
  </si>
  <si>
    <t>{"PARAMETERS": {"2": "'E:/G\u7a7a\u9593\u60c5\u5831\u30bb\u30f3\u30bf\u30fc/05\u79cb\u7530\u770c/27\u5b50\u5409\u5ddd\u68ee\u6797\u8a08\u753b\u533a/\u7b2c10\u7cfb/\u5c0f\u73ed\u754c.shp'", "crsjgd2000": "QgsCoordinateReferenceSystem('EPSG:2452')"}, "OUTPUTS": {"": "E:/G\u7a7a\u9593\u60c5\u5831\u30bb\u30f3\u30bf\u30fc/05\u79cb\u7530\u770c/27\u5b50\u5409\u5ddd\u68ee\u6797\u8a08\u753b\u533aTKY2JGD/\u7b2c10\u7cfb/\u5c0f\u73ed\u754c.fgb"}}</t>
  </si>
  <si>
    <t>{"PARAMETERS": {"2": "'E:/G\u7a7a\u9593\u60c5\u5831\u30bb\u30f3\u30bf\u30fc/05\u79cb\u7530\u770c/27\u5b50\u5409\u5ddd\u68ee\u6797\u8a08\u753b\u533a/\u7b2c10\u7cfb/\u5c0f\u73ed\u533a\u753b.shp'", "crsjgd2000": "QgsCoordinateReferenceSystem('EPSG:2452')"}, "OUTPUTS": {"": "E:/G\u7a7a\u9593\u60c5\u5831\u30bb\u30f3\u30bf\u30fc/05\u79cb\u7530\u770c/27\u5b50\u5409\u5ddd\u68ee\u6797\u8a08\u753b\u533aTKY2JGD/\u7b2c10\u7cfb/\u5c0f\u73ed\u533a\u753b.fgb"}}</t>
  </si>
  <si>
    <t>{"PARAMETERS": {"2": "'E:/G\u7a7a\u9593\u60c5\u5831\u30bb\u30f3\u30bf\u30fc/05\u79cb\u7530\u770c/27\u5b50\u5409\u5ddd\u68ee\u6797\u8a08\u753b\u533a/\u7b2c10\u7cfb/\u6797\u9053.shp'", "crsjgd2000": "QgsCoordinateReferenceSystem('EPSG:2452')"}, "OUTPUTS": {"": "E:/G\u7a7a\u9593\u60c5\u5831\u30bb\u30f3\u30bf\u30fc/05\u79cb\u7530\u770c/27\u5b50\u5409\u5ddd\u68ee\u6797\u8a08\u753b\u533aTKY2JGD/\u7b2c10\u7cfb/\u6797\u9053.fgb"}}</t>
  </si>
  <si>
    <t>{"PARAMETERS": {"2": "'E:/G\u7a7a\u9593\u60c5\u5831\u30bb\u30f3\u30bf\u30fc/05\u79cb\u7530\u770c/27\u5b50\u5409\u5ddd\u68ee\u6797\u8a08\u753b\u533a/\u7b2c10\u7cfb/\u4f5c\u696d\u9053.shp'", "crsjgd2000": "QgsCoordinateReferenceSystem('EPSG:2452')"}, "OUTPUTS": {"": "E:/G\u7a7a\u9593\u60c5\u5831\u30bb\u30f3\u30bf\u30fc/05\u79cb\u7530\u770c/27\u5b50\u5409\u5ddd\u68ee\u6797\u8a08\u753b\u533aTKY2JGD/\u7b2c10\u7cfb/\u4f5c\u696d\u9053.fgb"}}</t>
  </si>
  <si>
    <t>{"PARAMETERS": {"2": "'E:/G\u7a7a\u9593\u60c5\u5831\u30bb\u30f3\u30bf\u30fc/05\u79cb\u7530\u770c/27\u5b50\u5409\u5ddd\u68ee\u6797\u8a08\u753b\u533a/\u7b2c10\u7cfb/\u7b49\u9ad8\u7dda10m\u9593\u9694.shp'", "crsjgd2000": "QgsCoordinateReferenceSystem('EPSG:2452')"}, "OUTPUTS": {"": "E:/G\u7a7a\u9593\u60c5\u5831\u30bb\u30f3\u30bf\u30fc/05\u79cb\u7530\u770c/27\u5b50\u5409\u5ddd\u68ee\u6797\u8a08\u753b\u533aTKY2JGD/\u7b2c10\u7cfb/\u7b49\u9ad8\u7dda10m\u9593\u9694.fgb"}}</t>
  </si>
  <si>
    <t>{"PARAMETERS": {"2": "'E:/G\u7a7a\u9593\u60c5\u5831\u30bb\u30f3\u30bf\u30fc/06\u5c71\u5f62\u770c/28\u5e84\u5185\u68ee\u6797\u8a08\u753b\u533a/\u7b2c10\u7cfb/\u5883\u754c.shp'", "crsjgd2000": "QgsCoordinateReferenceSystem('EPSG:2452')"}, "OUTPUTS": {"": "E:/G\u7a7a\u9593\u60c5\u5831\u30bb\u30f3\u30bf\u30fc/06\u5c71\u5f62\u770c/28\u5e84\u5185\u68ee\u6797\u8a08\u753b\u533aTKY2JGD/\u7b2c10\u7cfb/\u5883\u754c.fgb"}}</t>
  </si>
  <si>
    <t>{"PARAMETERS": {"2": "'E:/G\u7a7a\u9593\u60c5\u5831\u30bb\u30f3\u30bf\u30fc/06\u5c71\u5f62\u770c/28\u5e84\u5185\u68ee\u6797\u8a08\u753b\u533a/\u7b2c10\u7cfb/\u6797\u73ed\u754c.shp'", "crsjgd2000": "QgsCoordinateReferenceSystem('EPSG:2452')"}, "OUTPUTS": {"": "E:/G\u7a7a\u9593\u60c5\u5831\u30bb\u30f3\u30bf\u30fc/06\u5c71\u5f62\u770c/28\u5e84\u5185\u68ee\u6797\u8a08\u753b\u533aTKY2JGD/\u7b2c10\u7cfb/\u6797\u73ed\u754c.fgb"}}</t>
  </si>
  <si>
    <t>{"PARAMETERS": {"2": "'E:/G\u7a7a\u9593\u60c5\u5831\u30bb\u30f3\u30bf\u30fc/06\u5c71\u5f62\u770c/28\u5e84\u5185\u68ee\u6797\u8a08\u753b\u533a/\u7b2c10\u7cfb/\u6797\u73ed\u533a\u753b.shp'", "crsjgd2000": "QgsCoordinateReferenceSystem('EPSG:2452')"}, "OUTPUTS": {"": "E:/G\u7a7a\u9593\u60c5\u5831\u30bb\u30f3\u30bf\u30fc/06\u5c71\u5f62\u770c/28\u5e84\u5185\u68ee\u6797\u8a08\u753b\u533aTKY2JGD/\u7b2c10\u7cfb/\u6797\u73ed\u533a\u753b.fgb"}}</t>
  </si>
  <si>
    <t>{"PARAMETERS": {"2": "'E:/G\u7a7a\u9593\u60c5\u5831\u30bb\u30f3\u30bf\u30fc/06\u5c71\u5f62\u770c/28\u5e84\u5185\u68ee\u6797\u8a08\u753b\u533a/\u7b2c10\u7cfb/\u5c0f\u73ed\u754c.shp'", "crsjgd2000": "QgsCoordinateReferenceSystem('EPSG:2452')"}, "OUTPUTS": {"": "E:/G\u7a7a\u9593\u60c5\u5831\u30bb\u30f3\u30bf\u30fc/06\u5c71\u5f62\u770c/28\u5e84\u5185\u68ee\u6797\u8a08\u753b\u533aTKY2JGD/\u7b2c10\u7cfb/\u5c0f\u73ed\u754c.fgb"}}</t>
  </si>
  <si>
    <t>{"PARAMETERS": {"2": "'E:/G\u7a7a\u9593\u60c5\u5831\u30bb\u30f3\u30bf\u30fc/06\u5c71\u5f62\u770c/28\u5e84\u5185\u68ee\u6797\u8a08\u753b\u533a/\u7b2c10\u7cfb/\u5c0f\u73ed\u533a\u753b.shp'", "crsjgd2000": "QgsCoordinateReferenceSystem('EPSG:2452')"}, "OUTPUTS": {"": "E:/G\u7a7a\u9593\u60c5\u5831\u30bb\u30f3\u30bf\u30fc/06\u5c71\u5f62\u770c/28\u5e84\u5185\u68ee\u6797\u8a08\u753b\u533aTKY2JGD/\u7b2c10\u7cfb/\u5c0f\u73ed\u533a\u753b.fgb"}}</t>
  </si>
  <si>
    <t>{"PARAMETERS": {"2": "'E:/G\u7a7a\u9593\u60c5\u5831\u30bb\u30f3\u30bf\u30fc/06\u5c71\u5f62\u770c/28\u5e84\u5185\u68ee\u6797\u8a08\u753b\u533a/\u7b2c10\u7cfb/\u6797\u9053.shp'", "crsjgd2000": "QgsCoordinateReferenceSystem('EPSG:2452')"}, "OUTPUTS": {"": "E:/G\u7a7a\u9593\u60c5\u5831\u30bb\u30f3\u30bf\u30fc/06\u5c71\u5f62\u770c/28\u5e84\u5185\u68ee\u6797\u8a08\u753b\u533aTKY2JGD/\u7b2c10\u7cfb/\u6797\u9053.fgb"}}</t>
  </si>
  <si>
    <t>{"PARAMETERS": {"2": "'E:/G\u7a7a\u9593\u60c5\u5831\u30bb\u30f3\u30bf\u30fc/06\u5c71\u5f62\u770c/28\u5e84\u5185\u68ee\u6797\u8a08\u753b\u533a/\u7b2c10\u7cfb/\u4f5c\u696d\u9053.shp'", "crsjgd2000": "QgsCoordinateReferenceSystem('EPSG:2452')"}, "OUTPUTS": {"": "E:/G\u7a7a\u9593\u60c5\u5831\u30bb\u30f3\u30bf\u30fc/06\u5c71\u5f62\u770c/28\u5e84\u5185\u68ee\u6797\u8a08\u753b\u533aTKY2JGD/\u7b2c10\u7cfb/\u4f5c\u696d\u9053.fgb"}}</t>
  </si>
  <si>
    <t>{"PARAMETERS": {"2": "'E:/G\u7a7a\u9593\u60c5\u5831\u30bb\u30f3\u30bf\u30fc/06\u5c71\u5f62\u770c/28\u5e84\u5185\u68ee\u6797\u8a08\u753b\u533a/\u7b2c10\u7cfb/\u7b49\u9ad8\u7dda10m\u9593\u9694.shp'", "crsjgd2000": "QgsCoordinateReferenceSystem('EPSG:2452')"}, "OUTPUTS": {"": "E:/G\u7a7a\u9593\u60c5\u5831\u30bb\u30f3\u30bf\u30fc/06\u5c71\u5f62\u770c/28\u5e84\u5185\u68ee\u6797\u8a08\u753b\u533aTKY2JGD/\u7b2c10\u7cfb/\u7b49\u9ad8\u7dda10m\u9593\u9694.fgb"}}</t>
  </si>
  <si>
    <t>{"PARAMETERS": {"2": "'E:/G\u7a7a\u9593\u60c5\u5831\u30bb\u30f3\u30bf\u30fc/06\u5c71\u5f62\u770c/29\u6700\u4e0a\u6751\u5c71\u68ee\u6797\u8a08\u753b\u533a/\u7b2c10\u7cfb/\u5883\u754c.shp'", "crsjgd2000": "QgsCoordinateReferenceSystem('EPSG:2452')"}, "OUTPUTS": {"": "E:/G\u7a7a\u9593\u60c5\u5831\u30bb\u30f3\u30bf\u30fc/06\u5c71\u5f62\u770c/29\u6700\u4e0a\u6751\u5c71\u68ee\u6797\u8a08\u753b\u533aTKY2JGD/\u7b2c10\u7cfb/\u5883\u754c.fgb"}}</t>
  </si>
  <si>
    <t>{"PARAMETERS": {"2": "'E:/G\u7a7a\u9593\u60c5\u5831\u30bb\u30f3\u30bf\u30fc/06\u5c71\u5f62\u770c/29\u6700\u4e0a\u6751\u5c71\u68ee\u6797\u8a08\u753b\u533a/\u7b2c10\u7cfb/\u6797\u73ed\u754c.shp'", "crsjgd2000": "QgsCoordinateReferenceSystem('EPSG:2452')"}, "OUTPUTS": {"": "E:/G\u7a7a\u9593\u60c5\u5831\u30bb\u30f3\u30bf\u30fc/06\u5c71\u5f62\u770c/29\u6700\u4e0a\u6751\u5c71\u68ee\u6797\u8a08\u753b\u533aTKY2JGD/\u7b2c10\u7cfb/\u6797\u73ed\u754c.fgb"}}</t>
  </si>
  <si>
    <t>{"PARAMETERS": {"2": "'E:/G\u7a7a\u9593\u60c5\u5831\u30bb\u30f3\u30bf\u30fc/06\u5c71\u5f62\u770c/29\u6700\u4e0a\u6751\u5c71\u68ee\u6797\u8a08\u753b\u533a/\u7b2c10\u7cfb/\u6797\u73ed\u533a\u753b.shp'", "crsjgd2000": "QgsCoordinateReferenceSystem('EPSG:2452')"}, "OUTPUTS": {"": "E:/G\u7a7a\u9593\u60c5\u5831\u30bb\u30f3\u30bf\u30fc/06\u5c71\u5f62\u770c/29\u6700\u4e0a\u6751\u5c71\u68ee\u6797\u8a08\u753b\u533aTKY2JGD/\u7b2c10\u7cfb/\u6797\u73ed\u533a\u753b.fgb"}}</t>
  </si>
  <si>
    <t>{"PARAMETERS": {"2": "'E:/G\u7a7a\u9593\u60c5\u5831\u30bb\u30f3\u30bf\u30fc/06\u5c71\u5f62\u770c/29\u6700\u4e0a\u6751\u5c71\u68ee\u6797\u8a08\u753b\u533a/\u7b2c10\u7cfb/\u5c0f\u73ed\u754c.shp'", "crsjgd2000": "QgsCoordinateReferenceSystem('EPSG:2452')"}, "OUTPUTS": {"": "E:/G\u7a7a\u9593\u60c5\u5831\u30bb\u30f3\u30bf\u30fc/06\u5c71\u5f62\u770c/29\u6700\u4e0a\u6751\u5c71\u68ee\u6797\u8a08\u753b\u533aTKY2JGD/\u7b2c10\u7cfb/\u5c0f\u73ed\u754c.fgb"}}</t>
  </si>
  <si>
    <t>{"PARAMETERS": {"2": "'E:/G\u7a7a\u9593\u60c5\u5831\u30bb\u30f3\u30bf\u30fc/06\u5c71\u5f62\u770c/29\u6700\u4e0a\u6751\u5c71\u68ee\u6797\u8a08\u753b\u533a/\u7b2c10\u7cfb/\u5c0f\u73ed\u533a\u753b.shp'", "crsjgd2000": "QgsCoordinateReferenceSystem('EPSG:2452')"}, "OUTPUTS": {"": "E:/G\u7a7a\u9593\u60c5\u5831\u30bb\u30f3\u30bf\u30fc/06\u5c71\u5f62\u770c/29\u6700\u4e0a\u6751\u5c71\u68ee\u6797\u8a08\u753b\u533aTKY2JGD/\u7b2c10\u7cfb/\u5c0f\u73ed\u533a\u753b.fgb"}}</t>
  </si>
  <si>
    <t>{"PARAMETERS": {"2": "'E:/G\u7a7a\u9593\u60c5\u5831\u30bb\u30f3\u30bf\u30fc/06\u5c71\u5f62\u770c/29\u6700\u4e0a\u6751\u5c71\u68ee\u6797\u8a08\u753b\u533a/\u7b2c10\u7cfb/\u6797\u9053.shp'", "crsjgd2000": "QgsCoordinateReferenceSystem('EPSG:2452')"}, "OUTPUTS": {"": "E:/G\u7a7a\u9593\u60c5\u5831\u30bb\u30f3\u30bf\u30fc/06\u5c71\u5f62\u770c/29\u6700\u4e0a\u6751\u5c71\u68ee\u6797\u8a08\u753b\u533aTKY2JGD/\u7b2c10\u7cfb/\u6797\u9053.fgb"}}</t>
  </si>
  <si>
    <t>{"PARAMETERS": {"2": "'E:/G\u7a7a\u9593\u60c5\u5831\u30bb\u30f3\u30bf\u30fc/06\u5c71\u5f62\u770c/29\u6700\u4e0a\u6751\u5c71\u68ee\u6797\u8a08\u753b\u533a/\u7b2c10\u7cfb/\u4f5c\u696d\u9053.shp'", "crsjgd2000": "QgsCoordinateReferenceSystem('EPSG:2452')"}, "OUTPUTS": {"": "E:/G\u7a7a\u9593\u60c5\u5831\u30bb\u30f3\u30bf\u30fc/06\u5c71\u5f62\u770c/29\u6700\u4e0a\u6751\u5c71\u68ee\u6797\u8a08\u753b\u533aTKY2JGD/\u7b2c10\u7cfb/\u4f5c\u696d\u9053.fgb"}}</t>
  </si>
  <si>
    <t>{"PARAMETERS": {"2": "'E:/G\u7a7a\u9593\u60c5\u5831\u30bb\u30f3\u30bf\u30fc/06\u5c71\u5f62\u770c/29\u6700\u4e0a\u6751\u5c71\u68ee\u6797\u8a08\u753b\u533a/\u7b2c10\u7cfb/\u7b49\u9ad8\u7dda10m\u9593\u9694.shp'", "crsjgd2000": "QgsCoordinateReferenceSystem('EPSG:2452')"}, "OUTPUTS": {"": "E:/G\u7a7a\u9593\u60c5\u5831\u30bb\u30f3\u30bf\u30fc/06\u5c71\u5f62\u770c/29\u6700\u4e0a\u6751\u5c71\u68ee\u6797\u8a08\u753b\u533aTKY2JGD/\u7b2c10\u7cfb/\u7b49\u9ad8\u7dda10m\u9593\u9694.fgb"}}</t>
  </si>
  <si>
    <t>{"PARAMETERS": {"2": "'E:/G\u7a7a\u9593\u60c5\u5831\u30bb\u30f3\u30bf\u30fc/06\u5c71\u5f62\u770c/30\u7f6e\u8cdc\u68ee\u6797\u8a08\u753b\u533a/\u7b2c10\u7cfb/\u5883\u754c.shp'", "crsjgd2000": "QgsCoordinateReferenceSystem('EPSG:2452')"}, "OUTPUTS": {"": "E:/G\u7a7a\u9593\u60c5\u5831\u30bb\u30f3\u30bf\u30fc/06\u5c71\u5f62\u770c/30\u7f6e\u8cdc\u68ee\u6797\u8a08\u753b\u533aTKY2JGD/\u7b2c10\u7cfb/\u5883\u754c.fgb"}}</t>
  </si>
  <si>
    <t>{"PARAMETERS": {"2": "'E:/G\u7a7a\u9593\u60c5\u5831\u30bb\u30f3\u30bf\u30fc/06\u5c71\u5f62\u770c/30\u7f6e\u8cdc\u68ee\u6797\u8a08\u753b\u533a/\u7b2c10\u7cfb/\u6797\u73ed\u754c.shp'", "crsjgd2000": "QgsCoordinateReferenceSystem('EPSG:2452')"}, "OUTPUTS": {"": "E:/G\u7a7a\u9593\u60c5\u5831\u30bb\u30f3\u30bf\u30fc/06\u5c71\u5f62\u770c/30\u7f6e\u8cdc\u68ee\u6797\u8a08\u753b\u533aTKY2JGD/\u7b2c10\u7cfb/\u6797\u73ed\u754c.fgb"}}</t>
  </si>
  <si>
    <t>{"PARAMETERS": {"2": "'E:/G\u7a7a\u9593\u60c5\u5831\u30bb\u30f3\u30bf\u30fc/06\u5c71\u5f62\u770c/30\u7f6e\u8cdc\u68ee\u6797\u8a08\u753b\u533a/\u7b2c10\u7cfb/\u6797\u73ed\u533a\u753b.shp'", "crsjgd2000": "QgsCoordinateReferenceSystem('EPSG:2452')"}, "OUTPUTS": {"": "E:/G\u7a7a\u9593\u60c5\u5831\u30bb\u30f3\u30bf\u30fc/06\u5c71\u5f62\u770c/30\u7f6e\u8cdc\u68ee\u6797\u8a08\u753b\u533aTKY2JGD/\u7b2c10\u7cfb/\u6797\u73ed\u533a\u753b.fgb"}}</t>
  </si>
  <si>
    <t>{"PARAMETERS": {"2": "'E:/G\u7a7a\u9593\u60c5\u5831\u30bb\u30f3\u30bf\u30fc/06\u5c71\u5f62\u770c/30\u7f6e\u8cdc\u68ee\u6797\u8a08\u753b\u533a/\u7b2c10\u7cfb/\u5c0f\u73ed\u754c.shp'", "crsjgd2000": "QgsCoordinateReferenceSystem('EPSG:2452')"}, "OUTPUTS": {"": "E:/G\u7a7a\u9593\u60c5\u5831\u30bb\u30f3\u30bf\u30fc/06\u5c71\u5f62\u770c/30\u7f6e\u8cdc\u68ee\u6797\u8a08\u753b\u533aTKY2JGD/\u7b2c10\u7cfb/\u5c0f\u73ed\u754c.fgb"}}</t>
  </si>
  <si>
    <t>{"PARAMETERS": {"2": "'E:/G\u7a7a\u9593\u60c5\u5831\u30bb\u30f3\u30bf\u30fc/06\u5c71\u5f62\u770c/30\u7f6e\u8cdc\u68ee\u6797\u8a08\u753b\u533a/\u7b2c10\u7cfb/\u5c0f\u73ed\u533a\u753b.shp'", "crsjgd2000": "QgsCoordinateReferenceSystem('EPSG:2452')"}, "OUTPUTS": {"": "E:/G\u7a7a\u9593\u60c5\u5831\u30bb\u30f3\u30bf\u30fc/06\u5c71\u5f62\u770c/30\u7f6e\u8cdc\u68ee\u6797\u8a08\u753b\u533aTKY2JGD/\u7b2c10\u7cfb/\u5c0f\u73ed\u533a\u753b.fgb"}}</t>
  </si>
  <si>
    <t>{"PARAMETERS": {"2": "'E:/G\u7a7a\u9593\u60c5\u5831\u30bb\u30f3\u30bf\u30fc/06\u5c71\u5f62\u770c/30\u7f6e\u8cdc\u68ee\u6797\u8a08\u753b\u533a/\u7b2c10\u7cfb/\u6797\u9053.shp'", "crsjgd2000": "QgsCoordinateReferenceSystem('EPSG:2452')"}, "OUTPUTS": {"": "E:/G\u7a7a\u9593\u60c5\u5831\u30bb\u30f3\u30bf\u30fc/06\u5c71\u5f62\u770c/30\u7f6e\u8cdc\u68ee\u6797\u8a08\u753b\u533aTKY2JGD/\u7b2c10\u7cfb/\u6797\u9053.fgb"}}</t>
  </si>
  <si>
    <t>{"PARAMETERS": {"2": "'E:/G\u7a7a\u9593\u60c5\u5831\u30bb\u30f3\u30bf\u30fc/06\u5c71\u5f62\u770c/30\u7f6e\u8cdc\u68ee\u6797\u8a08\u753b\u533a/\u7b2c10\u7cfb/\u4f5c\u696d\u9053.shp'", "crsjgd2000": "QgsCoordinateReferenceSystem('EPSG:2452')"}, "OUTPUTS": {"": "E:/G\u7a7a\u9593\u60c5\u5831\u30bb\u30f3\u30bf\u30fc/06\u5c71\u5f62\u770c/30\u7f6e\u8cdc\u68ee\u6797\u8a08\u753b\u533aTKY2JGD/\u7b2c10\u7cfb/\u4f5c\u696d\u9053.fgb"}}</t>
  </si>
  <si>
    <t>{"PARAMETERS": {"2": "'E:/G\u7a7a\u9593\u60c5\u5831\u30bb\u30f3\u30bf\u30fc/06\u5c71\u5f62\u770c/30\u7f6e\u8cdc\u68ee\u6797\u8a08\u753b\u533a/\u7b2c10\u7cfb/\u7b49\u9ad8\u7dda10m\u9593\u9694.shp'", "crsjgd2000": "QgsCoordinateReferenceSystem('EPSG:2452')"}, "OUTPUTS": {"": "E:/G\u7a7a\u9593\u60c5\u5831\u30bb\u30f3\u30bf\u30fc/06\u5c71\u5f62\u770c/30\u7f6e\u8cdc\u68ee\u6797\u8a08\u753b\u533aTKY2JGD/\u7b2c10\u7cfb/\u7b49\u9ad8\u7dda10m\u9593\u9694.fgb"}}</t>
  </si>
  <si>
    <t>{"PARAMETERS": {"2": "'E:/G\u7a7a\u9593\u60c5\u5831\u30bb\u30f3\u30bf\u30fc/07\u798f\u5cf6\u770c/31\u78d0\u57ce\u68ee\u6797\u8a08\u753b\u533a/\u7b2c9\u7cfb/\u5883\u754c.shp'", "crsjgd2000": "QgsCoordinateReferenceSystem('EPSG:2451')"}, "OUTPUTS": {"": "E:/G\u7a7a\u9593\u60c5\u5831\u30bb\u30f3\u30bf\u30fc/07\u798f\u5cf6\u770c/31\u78d0\u57ce\u68ee\u6797\u8a08\u753b\u533aTKY2JGD/\u7b2c9\u7cfb/\u5883\u754c.fgb"}}</t>
  </si>
  <si>
    <t>{"PARAMETERS": {"2": "'E:/G\u7a7a\u9593\u60c5\u5831\u30bb\u30f3\u30bf\u30fc/07\u798f\u5cf6\u770c/31\u78d0\u57ce\u68ee\u6797\u8a08\u753b\u533a/\u7b2c9\u7cfb/\u6797\u73ed\u754c.shp'", "crsjgd2000": "QgsCoordinateReferenceSystem('EPSG:2451')"}, "OUTPUTS": {"": "E:/G\u7a7a\u9593\u60c5\u5831\u30bb\u30f3\u30bf\u30fc/07\u798f\u5cf6\u770c/31\u78d0\u57ce\u68ee\u6797\u8a08\u753b\u533aTKY2JGD/\u7b2c9\u7cfb/\u6797\u73ed\u754c.fgb"}}</t>
  </si>
  <si>
    <t>{"PARAMETERS": {"2": "'E:/G\u7a7a\u9593\u60c5\u5831\u30bb\u30f3\u30bf\u30fc/07\u798f\u5cf6\u770c/31\u78d0\u57ce\u68ee\u6797\u8a08\u753b\u533a/\u7b2c9\u7cfb/\u6797\u73ed\u533a\u753b.shp'", "crsjgd2000": "QgsCoordinateReferenceSystem('EPSG:2451')"}, "OUTPUTS": {"": "E:/G\u7a7a\u9593\u60c5\u5831\u30bb\u30f3\u30bf\u30fc/07\u798f\u5cf6\u770c/31\u78d0\u57ce\u68ee\u6797\u8a08\u753b\u533aTKY2JGD/\u7b2c9\u7cfb/\u6797\u73ed\u533a\u753b.fgb"}}</t>
  </si>
  <si>
    <t>{"PARAMETERS": {"2": "'E:/G\u7a7a\u9593\u60c5\u5831\u30bb\u30f3\u30bf\u30fc/07\u798f\u5cf6\u770c/31\u78d0\u57ce\u68ee\u6797\u8a08\u753b\u533a/\u7b2c9\u7cfb/\u5c0f\u73ed\u754c.shp'", "crsjgd2000": "QgsCoordinateReferenceSystem('EPSG:2451')"}, "OUTPUTS": {"": "E:/G\u7a7a\u9593\u60c5\u5831\u30bb\u30f3\u30bf\u30fc/07\u798f\u5cf6\u770c/31\u78d0\u57ce\u68ee\u6797\u8a08\u753b\u533aTKY2JGD/\u7b2c9\u7cfb/\u5c0f\u73ed\u754c.fgb"}}</t>
  </si>
  <si>
    <t>{"PARAMETERS": {"2": "'E:/G\u7a7a\u9593\u60c5\u5831\u30bb\u30f3\u30bf\u30fc/07\u798f\u5cf6\u770c/31\u78d0\u57ce\u68ee\u6797\u8a08\u753b\u533a/\u7b2c9\u7cfb/\u5c0f\u73ed\u533a\u753b.shp'", "crsjgd2000": "QgsCoordinateReferenceSystem('EPSG:2451')"}, "OUTPUTS": {"": "E:/G\u7a7a\u9593\u60c5\u5831\u30bb\u30f3\u30bf\u30fc/07\u798f\u5cf6\u770c/31\u78d0\u57ce\u68ee\u6797\u8a08\u753b\u533aTKY2JGD/\u7b2c9\u7cfb/\u5c0f\u73ed\u533a\u753b.fgb"}}</t>
  </si>
  <si>
    <t>{"PARAMETERS": {"2": "'E:/G\u7a7a\u9593\u60c5\u5831\u30bb\u30f3\u30bf\u30fc/07\u798f\u5cf6\u770c/31\u78d0\u57ce\u68ee\u6797\u8a08\u753b\u533a/\u7b2c9\u7cfb/\u6797\u9053.shp'", "crsjgd2000": "QgsCoordinateReferenceSystem('EPSG:2451')"}, "OUTPUTS": {"": "E:/G\u7a7a\u9593\u60c5\u5831\u30bb\u30f3\u30bf\u30fc/07\u798f\u5cf6\u770c/31\u78d0\u57ce\u68ee\u6797\u8a08\u753b\u533aTKY2JGD/\u7b2c9\u7cfb/\u6797\u9053.fgb"}}</t>
  </si>
  <si>
    <t>{"PARAMETERS": {"2": "'E:/G\u7a7a\u9593\u60c5\u5831\u30bb\u30f3\u30bf\u30fc/07\u798f\u5cf6\u770c/31\u78d0\u57ce\u68ee\u6797\u8a08\u753b\u533a/\u7b2c9\u7cfb/\u4f5c\u696d\u9053.shp'", "crsjgd2000": "QgsCoordinateReferenceSystem('EPSG:2451')"}, "OUTPUTS": {"": "E:/G\u7a7a\u9593\u60c5\u5831\u30bb\u30f3\u30bf\u30fc/07\u798f\u5cf6\u770c/31\u78d0\u57ce\u68ee\u6797\u8a08\u753b\u533aTKY2JGD/\u7b2c9\u7cfb/\u4f5c\u696d\u9053.fgb"}}</t>
  </si>
  <si>
    <t>{"PARAMETERS": {"2": "'E:/G\u7a7a\u9593\u60c5\u5831\u30bb\u30f3\u30bf\u30fc/07\u798f\u5cf6\u770c/31\u78d0\u57ce\u68ee\u6797\u8a08\u753b\u533a/\u7b2c9\u7cfb/\u7b49\u9ad8\u7dda10m\u9593\u9694.shp'", "crsjgd2000": "QgsCoordinateReferenceSystem('EPSG:2451')"}, "OUTPUTS": {"": "E:/G\u7a7a\u9593\u60c5\u5831\u30bb\u30f3\u30bf\u30fc/07\u798f\u5cf6\u770c/31\u78d0\u57ce\u68ee\u6797\u8a08\u753b\u533aTKY2JGD/\u7b2c9\u7cfb/\u7b49\u9ad8\u7dda10m\u9593\u9694.fgb"}}</t>
  </si>
  <si>
    <t>{"PARAMETERS": {"2": "'E:/G\u7a7a\u9593\u60c5\u5831\u30bb\u30f3\u30bf\u30fc/07\u798f\u5cf6\u770c/32\u963f\u6b66\u9688\u5ddd\u68ee\u6797\u8a08\u753b\u533a/\u7b2c9\u7cfb/\u5883\u754c.shp'", "crsjgd2000": "QgsCoordinateReferenceSystem('EPSG:2451')"}, "OUTPUTS": {"": "E:/G\u7a7a\u9593\u60c5\u5831\u30bb\u30f3\u30bf\u30fc/07\u798f\u5cf6\u770c/32\u963f\u6b66\u9688\u5ddd\u68ee\u6797\u8a08\u753b\u533aTKY2JGD/\u7b2c9\u7cfb/\u5883\u754c.fgb"}}</t>
  </si>
  <si>
    <t>{"PARAMETERS": {"2": "'E:/G\u7a7a\u9593\u60c5\u5831\u30bb\u30f3\u30bf\u30fc/07\u798f\u5cf6\u770c/32\u963f\u6b66\u9688\u5ddd\u68ee\u6797\u8a08\u753b\u533a/\u7b2c9\u7cfb/\u6797\u73ed\u754c.shp'", "crsjgd2000": "QgsCoordinateReferenceSystem('EPSG:2451')"}, "OUTPUTS": {"": "E:/G\u7a7a\u9593\u60c5\u5831\u30bb\u30f3\u30bf\u30fc/07\u798f\u5cf6\u770c/32\u963f\u6b66\u9688\u5ddd\u68ee\u6797\u8a08\u753b\u533aTKY2JGD/\u7b2c9\u7cfb/\u6797\u73ed\u754c.fgb"}}</t>
  </si>
  <si>
    <t>{"PARAMETERS": {"2": "'E:/G\u7a7a\u9593\u60c5\u5831\u30bb\u30f3\u30bf\u30fc/07\u798f\u5cf6\u770c/32\u963f\u6b66\u9688\u5ddd\u68ee\u6797\u8a08\u753b\u533a/\u7b2c9\u7cfb/\u6797\u73ed\u533a\u753b.shp'", "crsjgd2000": "QgsCoordinateReferenceSystem('EPSG:2451')"}, "OUTPUTS": {"": "E:/G\u7a7a\u9593\u60c5\u5831\u30bb\u30f3\u30bf\u30fc/07\u798f\u5cf6\u770c/32\u963f\u6b66\u9688\u5ddd\u68ee\u6797\u8a08\u753b\u533aTKY2JGD/\u7b2c9\u7cfb/\u6797\u73ed\u533a\u753b.fgb"}}</t>
  </si>
  <si>
    <t>{"PARAMETERS": {"2": "'E:/G\u7a7a\u9593\u60c5\u5831\u30bb\u30f3\u30bf\u30fc/07\u798f\u5cf6\u770c/32\u963f\u6b66\u9688\u5ddd\u68ee\u6797\u8a08\u753b\u533a/\u7b2c9\u7cfb/\u5c0f\u73ed\u754c.shp'", "crsjgd2000": "QgsCoordinateReferenceSystem('EPSG:2451')"}, "OUTPUTS": {"": "E:/G\u7a7a\u9593\u60c5\u5831\u30bb\u30f3\u30bf\u30fc/07\u798f\u5cf6\u770c/32\u963f\u6b66\u9688\u5ddd\u68ee\u6797\u8a08\u753b\u533aTKY2JGD/\u7b2c9\u7cfb/\u5c0f\u73ed\u754c.fgb"}}</t>
  </si>
  <si>
    <t>{"PARAMETERS": {"2": "'E:/G\u7a7a\u9593\u60c5\u5831\u30bb\u30f3\u30bf\u30fc/07\u798f\u5cf6\u770c/32\u963f\u6b66\u9688\u5ddd\u68ee\u6797\u8a08\u753b\u533a/\u7b2c9\u7cfb/\u5c0f\u73ed\u533a\u753b.shp'", "crsjgd2000": "QgsCoordinateReferenceSystem('EPSG:2451')"}, "OUTPUTS": {"": "E:/G\u7a7a\u9593\u60c5\u5831\u30bb\u30f3\u30bf\u30fc/07\u798f\u5cf6\u770c/32\u963f\u6b66\u9688\u5ddd\u68ee\u6797\u8a08\u753b\u533aTKY2JGD/\u7b2c9\u7cfb/\u5c0f\u73ed\u533a\u753b.fgb"}}</t>
  </si>
  <si>
    <t>{"PARAMETERS": {"2": "'E:/G\u7a7a\u9593\u60c5\u5831\u30bb\u30f3\u30bf\u30fc/07\u798f\u5cf6\u770c/32\u963f\u6b66\u9688\u5ddd\u68ee\u6797\u8a08\u753b\u533a/\u7b2c9\u7cfb/\u6797\u9053.shp'", "crsjgd2000": "QgsCoordinateReferenceSystem('EPSG:2451')"}, "OUTPUTS": {"": "E:/G\u7a7a\u9593\u60c5\u5831\u30bb\u30f3\u30bf\u30fc/07\u798f\u5cf6\u770c/32\u963f\u6b66\u9688\u5ddd\u68ee\u6797\u8a08\u753b\u533aTKY2JGD/\u7b2c9\u7cfb/\u6797\u9053.fgb"}}</t>
  </si>
  <si>
    <t>{"PARAMETERS": {"2": "'E:/G\u7a7a\u9593\u60c5\u5831\u30bb\u30f3\u30bf\u30fc/07\u798f\u5cf6\u770c/32\u963f\u6b66\u9688\u5ddd\u68ee\u6797\u8a08\u753b\u533a/\u7b2c9\u7cfb/\u4f5c\u696d\u9053.shp'", "crsjgd2000": "QgsCoordinateReferenceSystem('EPSG:2451')"}, "OUTPUTS": {"": "E:/G\u7a7a\u9593\u60c5\u5831\u30bb\u30f3\u30bf\u30fc/07\u798f\u5cf6\u770c/32\u963f\u6b66\u9688\u5ddd\u68ee\u6797\u8a08\u753b\u533aTKY2JGD/\u7b2c9\u7cfb/\u4f5c\u696d\u9053.fgb"}}</t>
  </si>
  <si>
    <t>{"PARAMETERS": {"2": "'E:/G\u7a7a\u9593\u60c5\u5831\u30bb\u30f3\u30bf\u30fc/07\u798f\u5cf6\u770c/32\u963f\u6b66\u9688\u5ddd\u68ee\u6797\u8a08\u753b\u533a/\u7b2c9\u7cfb/\u7b49\u9ad8\u7dda10m\u9593\u9694.shp'", "crsjgd2000": "QgsCoordinateReferenceSystem('EPSG:2451')"}, "OUTPUTS": {"": "E:/G\u7a7a\u9593\u60c5\u5831\u30bb\u30f3\u30bf\u30fc/07\u798f\u5cf6\u770c/32\u963f\u6b66\u9688\u5ddd\u68ee\u6797\u8a08\u753b\u533aTKY2JGD/\u7b2c9\u7cfb/\u7b49\u9ad8\u7dda10m\u9593\u9694.fgb"}}</t>
  </si>
  <si>
    <t>{"PARAMETERS": {"2": "'E:/G\u7a7a\u9593\u60c5\u5831\u30bb\u30f3\u30bf\u30fc/07\u798f\u5cf6\u770c/33\u4f1a\u6d25\u68ee\u6797\u8a08\u753b\u533a/\u7b2c9\u7cfb/\u5883\u754c.shp'", "crsjgd2000": "QgsCoordinateReferenceSystem('EPSG:2451')"}, "OUTPUTS": {"": "E:/G\u7a7a\u9593\u60c5\u5831\u30bb\u30f3\u30bf\u30fc/07\u798f\u5cf6\u770c/33\u4f1a\u6d25\u68ee\u6797\u8a08\u753b\u533aTKY2JGD/\u7b2c9\u7cfb/\u5883\u754c.fgb"}}</t>
  </si>
  <si>
    <t>{"PARAMETERS": {"2": "'E:/G\u7a7a\u9593\u60c5\u5831\u30bb\u30f3\u30bf\u30fc/07\u798f\u5cf6\u770c/33\u4f1a\u6d25\u68ee\u6797\u8a08\u753b\u533a/\u7b2c9\u7cfb/\u6797\u73ed\u754c.shp'", "crsjgd2000": "QgsCoordinateReferenceSystem('EPSG:2451')"}, "OUTPUTS": {"": "E:/G\u7a7a\u9593\u60c5\u5831\u30bb\u30f3\u30bf\u30fc/07\u798f\u5cf6\u770c/33\u4f1a\u6d25\u68ee\u6797\u8a08\u753b\u533aTKY2JGD/\u7b2c9\u7cfb/\u6797\u73ed\u754c.fgb"}}</t>
  </si>
  <si>
    <t>{"PARAMETERS": {"2": "'E:/G\u7a7a\u9593\u60c5\u5831\u30bb\u30f3\u30bf\u30fc/07\u798f\u5cf6\u770c/33\u4f1a\u6d25\u68ee\u6797\u8a08\u753b\u533a/\u7b2c9\u7cfb/\u6797\u73ed\u533a\u753b.shp'", "crsjgd2000": "QgsCoordinateReferenceSystem('EPSG:2451')"}, "OUTPUTS": {"": "E:/G\u7a7a\u9593\u60c5\u5831\u30bb\u30f3\u30bf\u30fc/07\u798f\u5cf6\u770c/33\u4f1a\u6d25\u68ee\u6797\u8a08\u753b\u533aTKY2JGD/\u7b2c9\u7cfb/\u6797\u73ed\u533a\u753b.fgb"}}</t>
  </si>
  <si>
    <t>{"PARAMETERS": {"2": "'E:/G\u7a7a\u9593\u60c5\u5831\u30bb\u30f3\u30bf\u30fc/07\u798f\u5cf6\u770c/33\u4f1a\u6d25\u68ee\u6797\u8a08\u753b\u533a/\u7b2c9\u7cfb/\u5c0f\u73ed\u754c.shp'", "crsjgd2000": "QgsCoordinateReferenceSystem('EPSG:2451')"}, "OUTPUTS": {"": "E:/G\u7a7a\u9593\u60c5\u5831\u30bb\u30f3\u30bf\u30fc/07\u798f\u5cf6\u770c/33\u4f1a\u6d25\u68ee\u6797\u8a08\u753b\u533aTKY2JGD/\u7b2c9\u7cfb/\u5c0f\u73ed\u754c.fgb"}}</t>
  </si>
  <si>
    <t>{"PARAMETERS": {"2": "'E:/G\u7a7a\u9593\u60c5\u5831\u30bb\u30f3\u30bf\u30fc/07\u798f\u5cf6\u770c/33\u4f1a\u6d25\u68ee\u6797\u8a08\u753b\u533a/\u7b2c9\u7cfb/\u5c0f\u73ed\u533a\u753b.shp'", "crsjgd2000": "QgsCoordinateReferenceSystem('EPSG:2451')"}, "OUTPUTS": {"": "E:/G\u7a7a\u9593\u60c5\u5831\u30bb\u30f3\u30bf\u30fc/07\u798f\u5cf6\u770c/33\u4f1a\u6d25\u68ee\u6797\u8a08\u753b\u533aTKY2JGD/\u7b2c9\u7cfb/\u5c0f\u73ed\u533a\u753b.fgb"}}</t>
  </si>
  <si>
    <t>{"PARAMETERS": {"2": "'E:/G\u7a7a\u9593\u60c5\u5831\u30bb\u30f3\u30bf\u30fc/07\u798f\u5cf6\u770c/33\u4f1a\u6d25\u68ee\u6797\u8a08\u753b\u533a/\u7b2c9\u7cfb/\u6797\u9053.shp'", "crsjgd2000": "QgsCoordinateReferenceSystem('EPSG:2451')"}, "OUTPUTS": {"": "E:/G\u7a7a\u9593\u60c5\u5831\u30bb\u30f3\u30bf\u30fc/07\u798f\u5cf6\u770c/33\u4f1a\u6d25\u68ee\u6797\u8a08\u753b\u533aTKY2JGD/\u7b2c9\u7cfb/\u6797\u9053.fgb"}}</t>
  </si>
  <si>
    <t>{"PARAMETERS": {"2": "'E:/G\u7a7a\u9593\u60c5\u5831\u30bb\u30f3\u30bf\u30fc/07\u798f\u5cf6\u770c/33\u4f1a\u6d25\u68ee\u6797\u8a08\u753b\u533a/\u7b2c9\u7cfb/\u4f5c\u696d\u9053.shp'", "crsjgd2000": "QgsCoordinateReferenceSystem('EPSG:2451')"}, "OUTPUTS": {"": "E:/G\u7a7a\u9593\u60c5\u5831\u30bb\u30f3\u30bf\u30fc/07\u798f\u5cf6\u770c/33\u4f1a\u6d25\u68ee\u6797\u8a08\u753b\u533aTKY2JGD/\u7b2c9\u7cfb/\u4f5c\u696d\u9053.fgb"}}</t>
  </si>
  <si>
    <t>{"PARAMETERS": {"2": "'E:/G\u7a7a\u9593\u60c5\u5831\u30bb\u30f3\u30bf\u30fc/07\u798f\u5cf6\u770c/33\u4f1a\u6d25\u68ee\u6797\u8a08\u753b\u533a/\u7b2c9\u7cfb/\u7b49\u9ad8\u7dda10m\u9593\u9694.shp'", "crsjgd2000": "QgsCoordinateReferenceSystem('EPSG:2451')"}, "OUTPUTS": {"": "E:/G\u7a7a\u9593\u60c5\u5831\u30bb\u30f3\u30bf\u30fc/07\u798f\u5cf6\u770c/33\u4f1a\u6d25\u68ee\u6797\u8a08\u753b\u533aTKY2JGD/\u7b2c9\u7cfb/\u7b49\u9ad8\u7dda10m\u9593\u9694.fgb"}}</t>
  </si>
  <si>
    <t>{"PARAMETERS": {"2": "'E:/G\u7a7a\u9593\u60c5\u5831\u30bb\u30f3\u30bf\u30fc/07\u798f\u5cf6\u770c/34\u5965\u4e45\u6148\u68ee\u6797\u8a08\u753b\u533a/\u7b2c9\u7cfb/\u5883\u754c.shp'", "crsjgd2000": "QgsCoordinateReferenceSystem('EPSG:2451')"}, "OUTPUTS": {"": "E:/G\u7a7a\u9593\u60c5\u5831\u30bb\u30f3\u30bf\u30fc/07\u798f\u5cf6\u770c/34\u5965\u4e45\u6148\u68ee\u6797\u8a08\u753b\u533aTKY2JGD/\u7b2c9\u7cfb/\u5883\u754c.fgb"}}</t>
  </si>
  <si>
    <t>{"PARAMETERS": {"2": "'E:/G\u7a7a\u9593\u60c5\u5831\u30bb\u30f3\u30bf\u30fc/07\u798f\u5cf6\u770c/34\u5965\u4e45\u6148\u68ee\u6797\u8a08\u753b\u533a/\u7b2c9\u7cfb/\u6797\u73ed\u754c.shp'", "crsjgd2000": "QgsCoordinateReferenceSystem('EPSG:2451')"}, "OUTPUTS": {"": "E:/G\u7a7a\u9593\u60c5\u5831\u30bb\u30f3\u30bf\u30fc/07\u798f\u5cf6\u770c/34\u5965\u4e45\u6148\u68ee\u6797\u8a08\u753b\u533aTKY2JGD/\u7b2c9\u7cfb/\u6797\u73ed\u754c.fgb"}}</t>
  </si>
  <si>
    <t>{"PARAMETERS": {"2": "'E:/G\u7a7a\u9593\u60c5\u5831\u30bb\u30f3\u30bf\u30fc/07\u798f\u5cf6\u770c/34\u5965\u4e45\u6148\u68ee\u6797\u8a08\u753b\u533a/\u7b2c9\u7cfb/\u6797\u73ed\u533a\u753b.shp'", "crsjgd2000": "QgsCoordinateReferenceSystem('EPSG:2451')"}, "OUTPUTS": {"": "E:/G\u7a7a\u9593\u60c5\u5831\u30bb\u30f3\u30bf\u30fc/07\u798f\u5cf6\u770c/34\u5965\u4e45\u6148\u68ee\u6797\u8a08\u753b\u533aTKY2JGD/\u7b2c9\u7cfb/\u6797\u73ed\u533a\u753b.fgb"}}</t>
  </si>
  <si>
    <t>{"PARAMETERS": {"2": "'E:/G\u7a7a\u9593\u60c5\u5831\u30bb\u30f3\u30bf\u30fc/07\u798f\u5cf6\u770c/34\u5965\u4e45\u6148\u68ee\u6797\u8a08\u753b\u533a/\u7b2c9\u7cfb/\u5c0f\u73ed\u754c.shp'", "crsjgd2000": "QgsCoordinateReferenceSystem('EPSG:2451')"}, "OUTPUTS": {"": "E:/G\u7a7a\u9593\u60c5\u5831\u30bb\u30f3\u30bf\u30fc/07\u798f\u5cf6\u770c/34\u5965\u4e45\u6148\u68ee\u6797\u8a08\u753b\u533aTKY2JGD/\u7b2c9\u7cfb/\u5c0f\u73ed\u754c.fgb"}}</t>
  </si>
  <si>
    <t>{"PARAMETERS": {"2": "'E:/G\u7a7a\u9593\u60c5\u5831\u30bb\u30f3\u30bf\u30fc/07\u798f\u5cf6\u770c/34\u5965\u4e45\u6148\u68ee\u6797\u8a08\u753b\u533a/\u7b2c9\u7cfb/\u5c0f\u73ed\u533a\u753b.shp'", "crsjgd2000": "QgsCoordinateReferenceSystem('EPSG:2451')"}, "OUTPUTS": {"": "E:/G\u7a7a\u9593\u60c5\u5831\u30bb\u30f3\u30bf\u30fc/07\u798f\u5cf6\u770c/34\u5965\u4e45\u6148\u68ee\u6797\u8a08\u753b\u533aTKY2JGD/\u7b2c9\u7cfb/\u5c0f\u73ed\u533a\u753b.fgb"}}</t>
  </si>
  <si>
    <t>{"PARAMETERS": {"2": "'E:/G\u7a7a\u9593\u60c5\u5831\u30bb\u30f3\u30bf\u30fc/07\u798f\u5cf6\u770c/34\u5965\u4e45\u6148\u68ee\u6797\u8a08\u753b\u533a/\u7b2c9\u7cfb/\u6797\u9053.shp'", "crsjgd2000": "QgsCoordinateReferenceSystem('EPSG:2451')"}, "OUTPUTS": {"": "E:/G\u7a7a\u9593\u60c5\u5831\u30bb\u30f3\u30bf\u30fc/07\u798f\u5cf6\u770c/34\u5965\u4e45\u6148\u68ee\u6797\u8a08\u753b\u533aTKY2JGD/\u7b2c9\u7cfb/\u6797\u9053.fgb"}}</t>
  </si>
  <si>
    <t>{"PARAMETERS": {"2": "'E:/G\u7a7a\u9593\u60c5\u5831\u30bb\u30f3\u30bf\u30fc/07\u798f\u5cf6\u770c/34\u5965\u4e45\u6148\u68ee\u6797\u8a08\u753b\u533a/\u7b2c9\u7cfb/\u4f5c\u696d\u9053.shp'", "crsjgd2000": "QgsCoordinateReferenceSystem('EPSG:2451')"}, "OUTPUTS": {"": "E:/G\u7a7a\u9593\u60c5\u5831\u30bb\u30f3\u30bf\u30fc/07\u798f\u5cf6\u770c/34\u5965\u4e45\u6148\u68ee\u6797\u8a08\u753b\u533aTKY2JGD/\u7b2c9\u7cfb/\u4f5c\u696d\u9053.fgb"}}</t>
  </si>
  <si>
    <t>{"PARAMETERS": {"2": "'E:/G\u7a7a\u9593\u60c5\u5831\u30bb\u30f3\u30bf\u30fc/07\u798f\u5cf6\u770c/34\u5965\u4e45\u6148\u68ee\u6797\u8a08\u753b\u533a/\u7b2c9\u7cfb/\u7b49\u9ad8\u7dda10m\u9593\u9694.shp'", "crsjgd2000": "QgsCoordinateReferenceSystem('EPSG:2451')"}, "OUTPUTS": {"": "E:/G\u7a7a\u9593\u60c5\u5831\u30bb\u30f3\u30bf\u30fc/07\u798f\u5cf6\u770c/34\u5965\u4e45\u6148\u68ee\u6797\u8a08\u753b\u533aTKY2JGD/\u7b2c9\u7cfb/\u7b49\u9ad8\u7dda10m\u9593\u9694.fgb"}}</t>
  </si>
  <si>
    <t>{"PARAMETERS": {"2": "'E:/G\u7a7a\u9593\u60c5\u5831\u30bb\u30f3\u30bf\u30fc/08\u8328\u57ce\u770c/35\u516b\u6e9d\u591a\u8cc0\u68ee\u6797\u8a08\u753b\u533a/\u7b2c9\u7cfb/\u5883\u754c.shp'", "crsjgd2000": "QgsCoordinateReferenceSystem('EPSG:2451')"}, "OUTPUTS": {"": "E:/G\u7a7a\u9593\u60c5\u5831\u30bb\u30f3\u30bf\u30fc/08\u8328\u57ce\u770c/35\u516b\u6e9d\u591a\u8cc0\u68ee\u6797\u8a08\u753b\u533aTKY2JGD/\u7b2c9\u7cfb/\u5883\u754c.fgb"}}</t>
  </si>
  <si>
    <t>{"PARAMETERS": {"2": "'E:/G\u7a7a\u9593\u60c5\u5831\u30bb\u30f3\u30bf\u30fc/08\u8328\u57ce\u770c/35\u516b\u6e9d\u591a\u8cc0\u68ee\u6797\u8a08\u753b\u533a/\u7b2c9\u7cfb/\u6797\u73ed\u754c.shp'", "crsjgd2000": "QgsCoordinateReferenceSystem('EPSG:2451')"}, "OUTPUTS": {"": "E:/G\u7a7a\u9593\u60c5\u5831\u30bb\u30f3\u30bf\u30fc/08\u8328\u57ce\u770c/35\u516b\u6e9d\u591a\u8cc0\u68ee\u6797\u8a08\u753b\u533aTKY2JGD/\u7b2c9\u7cfb/\u6797\u73ed\u754c.fgb"}}</t>
  </si>
  <si>
    <t>{"PARAMETERS": {"2": "'E:/G\u7a7a\u9593\u60c5\u5831\u30bb\u30f3\u30bf\u30fc/08\u8328\u57ce\u770c/35\u516b\u6e9d\u591a\u8cc0\u68ee\u6797\u8a08\u753b\u533a/\u7b2c9\u7cfb/\u6797\u73ed\u533a\u753b.shp'", "crsjgd2000": "QgsCoordinateReferenceSystem('EPSG:2451')"}, "OUTPUTS": {"": "E:/G\u7a7a\u9593\u60c5\u5831\u30bb\u30f3\u30bf\u30fc/08\u8328\u57ce\u770c/35\u516b\u6e9d\u591a\u8cc0\u68ee\u6797\u8a08\u753b\u533aTKY2JGD/\u7b2c9\u7cfb/\u6797\u73ed\u533a\u753b.fgb"}}</t>
  </si>
  <si>
    <t>{"PARAMETERS": {"2": "'E:/G\u7a7a\u9593\u60c5\u5831\u30bb\u30f3\u30bf\u30fc/08\u8328\u57ce\u770c/35\u516b\u6e9d\u591a\u8cc0\u68ee\u6797\u8a08\u753b\u533a/\u7b2c9\u7cfb/\u5c0f\u73ed\u754c.shp'", "crsjgd2000": "QgsCoordinateReferenceSystem('EPSG:2451')"}, "OUTPUTS": {"": "E:/G\u7a7a\u9593\u60c5\u5831\u30bb\u30f3\u30bf\u30fc/08\u8328\u57ce\u770c/35\u516b\u6e9d\u591a\u8cc0\u68ee\u6797\u8a08\u753b\u533aTKY2JGD/\u7b2c9\u7cfb/\u5c0f\u73ed\u754c.fgb"}}</t>
  </si>
  <si>
    <t>{"PARAMETERS": {"2": "'E:/G\u7a7a\u9593\u60c5\u5831\u30bb\u30f3\u30bf\u30fc/08\u8328\u57ce\u770c/35\u516b\u6e9d\u591a\u8cc0\u68ee\u6797\u8a08\u753b\u533a/\u7b2c9\u7cfb/\u5c0f\u73ed\u533a\u753b.shp'", "crsjgd2000": "QgsCoordinateReferenceSystem('EPSG:2451')"}, "OUTPUTS": {"": "E:/G\u7a7a\u9593\u60c5\u5831\u30bb\u30f3\u30bf\u30fc/08\u8328\u57ce\u770c/35\u516b\u6e9d\u591a\u8cc0\u68ee\u6797\u8a08\u753b\u533aTKY2JGD/\u7b2c9\u7cfb/\u5c0f\u73ed\u533a\u753b.fgb"}}</t>
  </si>
  <si>
    <t>{"PARAMETERS": {"2": "'E:/G\u7a7a\u9593\u60c5\u5831\u30bb\u30f3\u30bf\u30fc/08\u8328\u57ce\u770c/35\u516b\u6e9d\u591a\u8cc0\u68ee\u6797\u8a08\u753b\u533a/\u7b2c9\u7cfb/\u6797\u9053.shp'", "crsjgd2000": "QgsCoordinateReferenceSystem('EPSG:2451')"}, "OUTPUTS": {"": "E:/G\u7a7a\u9593\u60c5\u5831\u30bb\u30f3\u30bf\u30fc/08\u8328\u57ce\u770c/35\u516b\u6e9d\u591a\u8cc0\u68ee\u6797\u8a08\u753b\u533aTKY2JGD/\u7b2c9\u7cfb/\u6797\u9053.fgb"}}</t>
  </si>
  <si>
    <t>{"PARAMETERS": {"2": "'E:/G\u7a7a\u9593\u60c5\u5831\u30bb\u30f3\u30bf\u30fc/08\u8328\u57ce\u770c/35\u516b\u6e9d\u591a\u8cc0\u68ee\u6797\u8a08\u753b\u533a/\u7b2c9\u7cfb/\u4f5c\u696d\u9053.shp'", "crsjgd2000": "QgsCoordinateReferenceSystem('EPSG:2451')"}, "OUTPUTS": {"": "E:/G\u7a7a\u9593\u60c5\u5831\u30bb\u30f3\u30bf\u30fc/08\u8328\u57ce\u770c/35\u516b\u6e9d\u591a\u8cc0\u68ee\u6797\u8a08\u753b\u533aTKY2JGD/\u7b2c9\u7cfb/\u4f5c\u696d\u9053.fgb"}}</t>
  </si>
  <si>
    <t>{"PARAMETERS": {"2": "'E:/G\u7a7a\u9593\u60c5\u5831\u30bb\u30f3\u30bf\u30fc/08\u8328\u57ce\u770c/35\u516b\u6e9d\u591a\u8cc0\u68ee\u6797\u8a08\u753b\u533a/\u7b2c9\u7cfb/\u7b49\u9ad8\u7dda10m\u9593\u9694.shp'", "crsjgd2000": "QgsCoordinateReferenceSystem('EPSG:2451')"}, "OUTPUTS": {"": "E:/G\u7a7a\u9593\u60c5\u5831\u30bb\u30f3\u30bf\u30fc/08\u8328\u57ce\u770c/35\u516b\u6e9d\u591a\u8cc0\u68ee\u6797\u8a08\u753b\u533aTKY2JGD/\u7b2c9\u7cfb/\u7b49\u9ad8\u7dda10m\u9593\u9694.fgb"}}</t>
  </si>
  <si>
    <t>{"PARAMETERS": {"2": "'E:/G\u7a7a\u9593\u60c5\u5831\u30bb\u30f3\u30bf\u30fc/08\u8328\u57ce\u770c/36\u6c34\u6238\u90a3\u73c2\u68ee\u6797\u8a08\u753b\u533a/\u7b2c9\u7cfb/\u5883\u754c.shp'", "crsjgd2000": "QgsCoordinateReferenceSystem('EPSG:2451')"}, "OUTPUTS": {"": "E:/G\u7a7a\u9593\u60c5\u5831\u30bb\u30f3\u30bf\u30fc/08\u8328\u57ce\u770c/36\u6c34\u6238\u90a3\u73c2\u68ee\u6797\u8a08\u753b\u533aTKY2JGD/\u7b2c9\u7cfb/\u5883\u754c.fgb"}}</t>
  </si>
  <si>
    <t>{"PARAMETERS": {"2": "'E:/G\u7a7a\u9593\u60c5\u5831\u30bb\u30f3\u30bf\u30fc/08\u8328\u57ce\u770c/36\u6c34\u6238\u90a3\u73c2\u68ee\u6797\u8a08\u753b\u533a/\u7b2c9\u7cfb/\u6797\u73ed\u754c.shp'", "crsjgd2000": "QgsCoordinateReferenceSystem('EPSG:2451')"}, "OUTPUTS": {"": "E:/G\u7a7a\u9593\u60c5\u5831\u30bb\u30f3\u30bf\u30fc/08\u8328\u57ce\u770c/36\u6c34\u6238\u90a3\u73c2\u68ee\u6797\u8a08\u753b\u533aTKY2JGD/\u7b2c9\u7cfb/\u6797\u73ed\u754c.fgb"}}</t>
  </si>
  <si>
    <t>{"PARAMETERS": {"2": "'E:/G\u7a7a\u9593\u60c5\u5831\u30bb\u30f3\u30bf\u30fc/08\u8328\u57ce\u770c/36\u6c34\u6238\u90a3\u73c2\u68ee\u6797\u8a08\u753b\u533a/\u7b2c9\u7cfb/\u6797\u73ed\u533a\u753b.shp'", "crsjgd2000": "QgsCoordinateReferenceSystem('EPSG:2451')"}, "OUTPUTS": {"": "E:/G\u7a7a\u9593\u60c5\u5831\u30bb\u30f3\u30bf\u30fc/08\u8328\u57ce\u770c/36\u6c34\u6238\u90a3\u73c2\u68ee\u6797\u8a08\u753b\u533aTKY2JGD/\u7b2c9\u7cfb/\u6797\u73ed\u533a\u753b.fgb"}}</t>
  </si>
  <si>
    <t>{"PARAMETERS": {"2": "'E:/G\u7a7a\u9593\u60c5\u5831\u30bb\u30f3\u30bf\u30fc/08\u8328\u57ce\u770c/36\u6c34\u6238\u90a3\u73c2\u68ee\u6797\u8a08\u753b\u533a/\u7b2c9\u7cfb/\u5c0f\u73ed\u754c.shp'", "crsjgd2000": "QgsCoordinateReferenceSystem('EPSG:2451')"}, "OUTPUTS": {"": "E:/G\u7a7a\u9593\u60c5\u5831\u30bb\u30f3\u30bf\u30fc/08\u8328\u57ce\u770c/36\u6c34\u6238\u90a3\u73c2\u68ee\u6797\u8a08\u753b\u533aTKY2JGD/\u7b2c9\u7cfb/\u5c0f\u73ed\u754c.fgb"}}</t>
  </si>
  <si>
    <t>{"PARAMETERS": {"2": "'E:/G\u7a7a\u9593\u60c5\u5831\u30bb\u30f3\u30bf\u30fc/08\u8328\u57ce\u770c/36\u6c34\u6238\u90a3\u73c2\u68ee\u6797\u8a08\u753b\u533a/\u7b2c9\u7cfb/\u5c0f\u73ed\u533a\u753b.shp'", "crsjgd2000": "QgsCoordinateReferenceSystem('EPSG:2451')"}, "OUTPUTS": {"": "E:/G\u7a7a\u9593\u60c5\u5831\u30bb\u30f3\u30bf\u30fc/08\u8328\u57ce\u770c/36\u6c34\u6238\u90a3\u73c2\u68ee\u6797\u8a08\u753b\u533aTKY2JGD/\u7b2c9\u7cfb/\u5c0f\u73ed\u533a\u753b.fgb"}}</t>
  </si>
  <si>
    <t>{"PARAMETERS": {"2": "'E:/G\u7a7a\u9593\u60c5\u5831\u30bb\u30f3\u30bf\u30fc/08\u8328\u57ce\u770c/36\u6c34\u6238\u90a3\u73c2\u68ee\u6797\u8a08\u753b\u533a/\u7b2c9\u7cfb/\u6797\u9053.shp'", "crsjgd2000": "QgsCoordinateReferenceSystem('EPSG:2451')"}, "OUTPUTS": {"": "E:/G\u7a7a\u9593\u60c5\u5831\u30bb\u30f3\u30bf\u30fc/08\u8328\u57ce\u770c/36\u6c34\u6238\u90a3\u73c2\u68ee\u6797\u8a08\u753b\u533aTKY2JGD/\u7b2c9\u7cfb/\u6797\u9053.fgb"}}</t>
  </si>
  <si>
    <t>{"PARAMETERS": {"2": "'E:/G\u7a7a\u9593\u60c5\u5831\u30bb\u30f3\u30bf\u30fc/08\u8328\u57ce\u770c/36\u6c34\u6238\u90a3\u73c2\u68ee\u6797\u8a08\u753b\u533a/\u7b2c9\u7cfb/\u4f5c\u696d\u9053.shp'", "crsjgd2000": "QgsCoordinateReferenceSystem('EPSG:2451')"}, "OUTPUTS": {"": "E:/G\u7a7a\u9593\u60c5\u5831\u30bb\u30f3\u30bf\u30fc/08\u8328\u57ce\u770c/36\u6c34\u6238\u90a3\u73c2\u68ee\u6797\u8a08\u753b\u533aTKY2JGD/\u7b2c9\u7cfb/\u4f5c\u696d\u9053.fgb"}}</t>
  </si>
  <si>
    <t>{"PARAMETERS": {"2": "'E:/G\u7a7a\u9593\u60c5\u5831\u30bb\u30f3\u30bf\u30fc/08\u8328\u57ce\u770c/36\u6c34\u6238\u90a3\u73c2\u68ee\u6797\u8a08\u753b\u533a/\u7b2c9\u7cfb/\u7b49\u9ad8\u7dda10m\u9593\u9694.shp'", "crsjgd2000": "QgsCoordinateReferenceSystem('EPSG:2451')"}, "OUTPUTS": {"": "E:/G\u7a7a\u9593\u60c5\u5831\u30bb\u30f3\u30bf\u30fc/08\u8328\u57ce\u770c/36\u6c34\u6238\u90a3\u73c2\u68ee\u6797\u8a08\u753b\u533aTKY2JGD/\u7b2c9\u7cfb/\u7b49\u9ad8\u7dda10m\u9593\u9694.fgb"}}</t>
  </si>
  <si>
    <t>{"PARAMETERS": {"2": "'E:/G\u7a7a\u9593\u60c5\u5831\u30bb\u30f3\u30bf\u30fc/08\u8328\u57ce\u770c/37\u971e\u30f6\u6d66\u68ee\u6797\u8a08\u753b\u533a/\u7b2c9\u7cfb/\u5883\u754c.shp'", "crsjgd2000": "QgsCoordinateReferenceSystem('EPSG:2451')"}, "OUTPUTS": {"": "E:/G\u7a7a\u9593\u60c5\u5831\u30bb\u30f3\u30bf\u30fc/08\u8328\u57ce\u770c/37\u971e\u30f6\u6d66\u68ee\u6797\u8a08\u753b\u533aTKY2JGD/\u7b2c9\u7cfb/\u5883\u754c.fgb"}}</t>
  </si>
  <si>
    <t>{"PARAMETERS": {"2": "'E:/G\u7a7a\u9593\u60c5\u5831\u30bb\u30f3\u30bf\u30fc/08\u8328\u57ce\u770c/37\u971e\u30f6\u6d66\u68ee\u6797\u8a08\u753b\u533a/\u7b2c9\u7cfb/\u6797\u73ed\u754c.shp'", "crsjgd2000": "QgsCoordinateReferenceSystem('EPSG:2451')"}, "OUTPUTS": {"": "E:/G\u7a7a\u9593\u60c5\u5831\u30bb\u30f3\u30bf\u30fc/08\u8328\u57ce\u770c/37\u971e\u30f6\u6d66\u68ee\u6797\u8a08\u753b\u533aTKY2JGD/\u7b2c9\u7cfb/\u6797\u73ed\u754c.fgb"}}</t>
  </si>
  <si>
    <t>{"PARAMETERS": {"2": "'E:/G\u7a7a\u9593\u60c5\u5831\u30bb\u30f3\u30bf\u30fc/08\u8328\u57ce\u770c/37\u971e\u30f6\u6d66\u68ee\u6797\u8a08\u753b\u533a/\u7b2c9\u7cfb/\u6797\u73ed\u533a\u753b.shp'", "crsjgd2000": "QgsCoordinateReferenceSystem('EPSG:2451')"}, "OUTPUTS": {"": "E:/G\u7a7a\u9593\u60c5\u5831\u30bb\u30f3\u30bf\u30fc/08\u8328\u57ce\u770c/37\u971e\u30f6\u6d66\u68ee\u6797\u8a08\u753b\u533aTKY2JGD/\u7b2c9\u7cfb/\u6797\u73ed\u533a\u753b.fgb"}}</t>
  </si>
  <si>
    <t>{"PARAMETERS": {"2": "'E:/G\u7a7a\u9593\u60c5\u5831\u30bb\u30f3\u30bf\u30fc/08\u8328\u57ce\u770c/37\u971e\u30f6\u6d66\u68ee\u6797\u8a08\u753b\u533a/\u7b2c9\u7cfb/\u5c0f\u73ed\u754c.shp'", "crsjgd2000": "QgsCoordinateReferenceSystem('EPSG:2451')"}, "OUTPUTS": {"": "E:/G\u7a7a\u9593\u60c5\u5831\u30bb\u30f3\u30bf\u30fc/08\u8328\u57ce\u770c/37\u971e\u30f6\u6d66\u68ee\u6797\u8a08\u753b\u533aTKY2JGD/\u7b2c9\u7cfb/\u5c0f\u73ed\u754c.fgb"}}</t>
  </si>
  <si>
    <t>{"PARAMETERS": {"2": "'E:/G\u7a7a\u9593\u60c5\u5831\u30bb\u30f3\u30bf\u30fc/08\u8328\u57ce\u770c/37\u971e\u30f6\u6d66\u68ee\u6797\u8a08\u753b\u533a/\u7b2c9\u7cfb/\u5c0f\u73ed\u533a\u753b.shp'", "crsjgd2000": "QgsCoordinateReferenceSystem('EPSG:2451')"}, "OUTPUTS": {"": "E:/G\u7a7a\u9593\u60c5\u5831\u30bb\u30f3\u30bf\u30fc/08\u8328\u57ce\u770c/37\u971e\u30f6\u6d66\u68ee\u6797\u8a08\u753b\u533aTKY2JGD/\u7b2c9\u7cfb/\u5c0f\u73ed\u533a\u753b.fgb"}}</t>
  </si>
  <si>
    <t>{"PARAMETERS": {"2": "'E:/G\u7a7a\u9593\u60c5\u5831\u30bb\u30f3\u30bf\u30fc/08\u8328\u57ce\u770c/37\u971e\u30f6\u6d66\u68ee\u6797\u8a08\u753b\u533a/\u7b2c9\u7cfb/\u6797\u9053.shp'", "crsjgd2000": "QgsCoordinateReferenceSystem('EPSG:2451')"}, "OUTPUTS": {"": "E:/G\u7a7a\u9593\u60c5\u5831\u30bb\u30f3\u30bf\u30fc/08\u8328\u57ce\u770c/37\u971e\u30f6\u6d66\u68ee\u6797\u8a08\u753b\u533aTKY2JGD/\u7b2c9\u7cfb/\u6797\u9053.fgb"}}</t>
  </si>
  <si>
    <t>{"PARAMETERS": {"2": "'E:/G\u7a7a\u9593\u60c5\u5831\u30bb\u30f3\u30bf\u30fc/08\u8328\u57ce\u770c/37\u971e\u30f6\u6d66\u68ee\u6797\u8a08\u753b\u533a/\u7b2c9\u7cfb/\u4f5c\u696d\u9053.shp'", "crsjgd2000": "QgsCoordinateReferenceSystem('EPSG:2451')"}, "OUTPUTS": {"": "E:/G\u7a7a\u9593\u60c5\u5831\u30bb\u30f3\u30bf\u30fc/08\u8328\u57ce\u770c/37\u971e\u30f6\u6d66\u68ee\u6797\u8a08\u753b\u533aTKY2JGD/\u7b2c9\u7cfb/\u4f5c\u696d\u9053.fgb"}}</t>
  </si>
  <si>
    <t>{"PARAMETERS": {"2": "'E:/G\u7a7a\u9593\u60c5\u5831\u30bb\u30f3\u30bf\u30fc/08\u8328\u57ce\u770c/37\u971e\u30f6\u6d66\u68ee\u6797\u8a08\u753b\u533a/\u7b2c9\u7cfb/\u7b49\u9ad8\u7dda10m\u9593\u9694.shp'", "crsjgd2000": "QgsCoordinateReferenceSystem('EPSG:2451')"}, "OUTPUTS": {"": "E:/G\u7a7a\u9593\u60c5\u5831\u30bb\u30f3\u30bf\u30fc/08\u8328\u57ce\u770c/37\u971e\u30f6\u6d66\u68ee\u6797\u8a08\u753b\u533aTKY2JGD/\u7b2c9\u7cfb/\u7b49\u9ad8\u7dda10m\u9593\u9694.fgb"}}</t>
  </si>
  <si>
    <t>{"PARAMETERS": {"2": "'E:/G\u7a7a\u9593\u60c5\u5831\u30bb\u30f3\u30bf\u30fc/09\u6803\u6728\u770c/38\u90a3\u73c2\u5ddd\u68ee\u6797\u8a08\u753b\u533a/\u7b2c9\u7cfb/\u5883\u754c.shp'", "crsjgd2000": "QgsCoordinateReferenceSystem('EPSG:2451')"}, "OUTPUTS": {"": "E:/G\u7a7a\u9593\u60c5\u5831\u30bb\u30f3\u30bf\u30fc/09\u6803\u6728\u770c/38\u90a3\u73c2\u5ddd\u68ee\u6797\u8a08\u753b\u533aTKY2JGD/\u7b2c9\u7cfb/\u5883\u754c.fgb"}}</t>
  </si>
  <si>
    <t>{"PARAMETERS": {"2": "'E:/G\u7a7a\u9593\u60c5\u5831\u30bb\u30f3\u30bf\u30fc/09\u6803\u6728\u770c/38\u90a3\u73c2\u5ddd\u68ee\u6797\u8a08\u753b\u533a/\u7b2c9\u7cfb/\u6797\u73ed\u754c.shp'", "crsjgd2000": "QgsCoordinateReferenceSystem('EPSG:2451')"}, "OUTPUTS": {"": "E:/G\u7a7a\u9593\u60c5\u5831\u30bb\u30f3\u30bf\u30fc/09\u6803\u6728\u770c/38\u90a3\u73c2\u5ddd\u68ee\u6797\u8a08\u753b\u533aTKY2JGD/\u7b2c9\u7cfb/\u6797\u73ed\u754c.fgb"}}</t>
  </si>
  <si>
    <t>{"PARAMETERS": {"2": "'E:/G\u7a7a\u9593\u60c5\u5831\u30bb\u30f3\u30bf\u30fc/09\u6803\u6728\u770c/38\u90a3\u73c2\u5ddd\u68ee\u6797\u8a08\u753b\u533a/\u7b2c9\u7cfb/\u6797\u73ed\u533a\u753b.shp'", "crsjgd2000": "QgsCoordinateReferenceSystem('EPSG:2451')"}, "OUTPUTS": {"": "E:/G\u7a7a\u9593\u60c5\u5831\u30bb\u30f3\u30bf\u30fc/09\u6803\u6728\u770c/38\u90a3\u73c2\u5ddd\u68ee\u6797\u8a08\u753b\u533aTKY2JGD/\u7b2c9\u7cfb/\u6797\u73ed\u533a\u753b.fgb"}}</t>
  </si>
  <si>
    <t>{"PARAMETERS": {"2": "'E:/G\u7a7a\u9593\u60c5\u5831\u30bb\u30f3\u30bf\u30fc/09\u6803\u6728\u770c/38\u90a3\u73c2\u5ddd\u68ee\u6797\u8a08\u753b\u533a/\u7b2c9\u7cfb/\u5c0f\u73ed\u754c.shp'", "crsjgd2000": "QgsCoordinateReferenceSystem('EPSG:2451')"}, "OUTPUTS": {"": "E:/G\u7a7a\u9593\u60c5\u5831\u30bb\u30f3\u30bf\u30fc/09\u6803\u6728\u770c/38\u90a3\u73c2\u5ddd\u68ee\u6797\u8a08\u753b\u533aTKY2JGD/\u7b2c9\u7cfb/\u5c0f\u73ed\u754c.fgb"}}</t>
  </si>
  <si>
    <t>{"PARAMETERS": {"2": "'E:/G\u7a7a\u9593\u60c5\u5831\u30bb\u30f3\u30bf\u30fc/09\u6803\u6728\u770c/38\u90a3\u73c2\u5ddd\u68ee\u6797\u8a08\u753b\u533a/\u7b2c9\u7cfb/\u5c0f\u73ed\u533a\u753b.shp'", "crsjgd2000": "QgsCoordinateReferenceSystem('EPSG:2451')"}, "OUTPUTS": {"": "E:/G\u7a7a\u9593\u60c5\u5831\u30bb\u30f3\u30bf\u30fc/09\u6803\u6728\u770c/38\u90a3\u73c2\u5ddd\u68ee\u6797\u8a08\u753b\u533aTKY2JGD/\u7b2c9\u7cfb/\u5c0f\u73ed\u533a\u753b.fgb"}}</t>
  </si>
  <si>
    <t>{"PARAMETERS": {"2": "'E:/G\u7a7a\u9593\u60c5\u5831\u30bb\u30f3\u30bf\u30fc/09\u6803\u6728\u770c/38\u90a3\u73c2\u5ddd\u68ee\u6797\u8a08\u753b\u533a/\u7b2c9\u7cfb/\u6797\u9053.shp'", "crsjgd2000": "QgsCoordinateReferenceSystem('EPSG:2451')"}, "OUTPUTS": {"": "E:/G\u7a7a\u9593\u60c5\u5831\u30bb\u30f3\u30bf\u30fc/09\u6803\u6728\u770c/38\u90a3\u73c2\u5ddd\u68ee\u6797\u8a08\u753b\u533aTKY2JGD/\u7b2c9\u7cfb/\u6797\u9053.fgb"}}</t>
  </si>
  <si>
    <t>{"PARAMETERS": {"2": "'E:/G\u7a7a\u9593\u60c5\u5831\u30bb\u30f3\u30bf\u30fc/09\u6803\u6728\u770c/38\u90a3\u73c2\u5ddd\u68ee\u6797\u8a08\u753b\u533a/\u7b2c9\u7cfb/\u4f5c\u696d\u9053.shp'", "crsjgd2000": "QgsCoordinateReferenceSystem('EPSG:2451')"}, "OUTPUTS": {"": "E:/G\u7a7a\u9593\u60c5\u5831\u30bb\u30f3\u30bf\u30fc/09\u6803\u6728\u770c/38\u90a3\u73c2\u5ddd\u68ee\u6797\u8a08\u753b\u533aTKY2JGD/\u7b2c9\u7cfb/\u4f5c\u696d\u9053.fgb"}}</t>
  </si>
  <si>
    <t>{"PARAMETERS": {"2": "'E:/G\u7a7a\u9593\u60c5\u5831\u30bb\u30f3\u30bf\u30fc/09\u6803\u6728\u770c/38\u90a3\u73c2\u5ddd\u68ee\u6797\u8a08\u753b\u533a/\u7b2c9\u7cfb/\u7b49\u9ad8\u7dda10m\u9593\u9694.shp'", "crsjgd2000": "QgsCoordinateReferenceSystem('EPSG:2451')"}, "OUTPUTS": {"": "E:/G\u7a7a\u9593\u60c5\u5831\u30bb\u30f3\u30bf\u30fc/09\u6803\u6728\u770c/38\u90a3\u73c2\u5ddd\u68ee\u6797\u8a08\u753b\u533aTKY2JGD/\u7b2c9\u7cfb/\u7b49\u9ad8\u7dda10m\u9593\u9694.fgb"}}</t>
  </si>
  <si>
    <t>{"PARAMETERS": {"2": "'E:/G\u7a7a\u9593\u60c5\u5831\u30bb\u30f3\u30bf\u30fc/09\u6803\u6728\u770c/39\u9b3c\u6012\u5ddd\u68ee\u6797\u8a08\u753b\u533a/\u7b2c9\u7cfb/\u5883\u754c.shp'", "crsjgd2000": "QgsCoordinateReferenceSystem('EPSG:2451')"}, "OUTPUTS": {"": "E:/G\u7a7a\u9593\u60c5\u5831\u30bb\u30f3\u30bf\u30fc/09\u6803\u6728\u770c/39\u9b3c\u6012\u5ddd\u68ee\u6797\u8a08\u753b\u533aTKY2JGD/\u7b2c9\u7cfb/\u5883\u754c.fgb"}}</t>
  </si>
  <si>
    <t>{"PARAMETERS": {"2": "'E:/G\u7a7a\u9593\u60c5\u5831\u30bb\u30f3\u30bf\u30fc/09\u6803\u6728\u770c/39\u9b3c\u6012\u5ddd\u68ee\u6797\u8a08\u753b\u533a/\u7b2c9\u7cfb/\u6797\u73ed\u754c.shp'", "crsjgd2000": "QgsCoordinateReferenceSystem('EPSG:2451')"}, "OUTPUTS": {"": "E:/G\u7a7a\u9593\u60c5\u5831\u30bb\u30f3\u30bf\u30fc/09\u6803\u6728\u770c/39\u9b3c\u6012\u5ddd\u68ee\u6797\u8a08\u753b\u533aTKY2JGD/\u7b2c9\u7cfb/\u6797\u73ed\u754c.fgb"}}</t>
  </si>
  <si>
    <t>{"PARAMETERS": {"2": "'E:/G\u7a7a\u9593\u60c5\u5831\u30bb\u30f3\u30bf\u30fc/09\u6803\u6728\u770c/39\u9b3c\u6012\u5ddd\u68ee\u6797\u8a08\u753b\u533a/\u7b2c9\u7cfb/\u6797\u73ed\u533a\u753b.shp'", "crsjgd2000": "QgsCoordinateReferenceSystem('EPSG:2451')"}, "OUTPUTS": {"": "E:/G\u7a7a\u9593\u60c5\u5831\u30bb\u30f3\u30bf\u30fc/09\u6803\u6728\u770c/39\u9b3c\u6012\u5ddd\u68ee\u6797\u8a08\u753b\u533aTKY2JGD/\u7b2c9\u7cfb/\u6797\u73ed\u533a\u753b.fgb"}}</t>
  </si>
  <si>
    <t>{"PARAMETERS": {"2": "'E:/G\u7a7a\u9593\u60c5\u5831\u30bb\u30f3\u30bf\u30fc/09\u6803\u6728\u770c/39\u9b3c\u6012\u5ddd\u68ee\u6797\u8a08\u753b\u533a/\u7b2c9\u7cfb/\u5c0f\u73ed\u754c.shp'", "crsjgd2000": "QgsCoordinateReferenceSystem('EPSG:2451')"}, "OUTPUTS": {"": "E:/G\u7a7a\u9593\u60c5\u5831\u30bb\u30f3\u30bf\u30fc/09\u6803\u6728\u770c/39\u9b3c\u6012\u5ddd\u68ee\u6797\u8a08\u753b\u533aTKY2JGD/\u7b2c9\u7cfb/\u5c0f\u73ed\u754c.fgb"}}</t>
  </si>
  <si>
    <t>{"PARAMETERS": {"2": "'E:/G\u7a7a\u9593\u60c5\u5831\u30bb\u30f3\u30bf\u30fc/09\u6803\u6728\u770c/39\u9b3c\u6012\u5ddd\u68ee\u6797\u8a08\u753b\u533a/\u7b2c9\u7cfb/\u5c0f\u73ed\u533a\u753b.shp'", "crsjgd2000": "QgsCoordinateReferenceSystem('EPSG:2451')"}, "OUTPUTS": {"": "E:/G\u7a7a\u9593\u60c5\u5831\u30bb\u30f3\u30bf\u30fc/09\u6803\u6728\u770c/39\u9b3c\u6012\u5ddd\u68ee\u6797\u8a08\u753b\u533aTKY2JGD/\u7b2c9\u7cfb/\u5c0f\u73ed\u533a\u753b.fgb"}}</t>
  </si>
  <si>
    <t>{"PARAMETERS": {"2": "'E:/G\u7a7a\u9593\u60c5\u5831\u30bb\u30f3\u30bf\u30fc/09\u6803\u6728\u770c/39\u9b3c\u6012\u5ddd\u68ee\u6797\u8a08\u753b\u533a/\u7b2c9\u7cfb/\u6797\u9053.shp'", "crsjgd2000": "QgsCoordinateReferenceSystem('EPSG:2451')"}, "OUTPUTS": {"": "E:/G\u7a7a\u9593\u60c5\u5831\u30bb\u30f3\u30bf\u30fc/09\u6803\u6728\u770c/39\u9b3c\u6012\u5ddd\u68ee\u6797\u8a08\u753b\u533aTKY2JGD/\u7b2c9\u7cfb/\u6797\u9053.fgb"}}</t>
  </si>
  <si>
    <t>{"PARAMETERS": {"2": "'E:/G\u7a7a\u9593\u60c5\u5831\u30bb\u30f3\u30bf\u30fc/09\u6803\u6728\u770c/39\u9b3c\u6012\u5ddd\u68ee\u6797\u8a08\u753b\u533a/\u7b2c9\u7cfb/\u4f5c\u696d\u9053.shp'", "crsjgd2000": "QgsCoordinateReferenceSystem('EPSG:2451')"}, "OUTPUTS": {"": "E:/G\u7a7a\u9593\u60c5\u5831\u30bb\u30f3\u30bf\u30fc/09\u6803\u6728\u770c/39\u9b3c\u6012\u5ddd\u68ee\u6797\u8a08\u753b\u533aTKY2JGD/\u7b2c9\u7cfb/\u4f5c\u696d\u9053.fgb"}}</t>
  </si>
  <si>
    <t>{"PARAMETERS": {"2": "'E:/G\u7a7a\u9593\u60c5\u5831\u30bb\u30f3\u30bf\u30fc/09\u6803\u6728\u770c/39\u9b3c\u6012\u5ddd\u68ee\u6797\u8a08\u753b\u533a/\u7b2c9\u7cfb/\u7b49\u9ad8\u7dda10m\u9593\u9694.shp'", "crsjgd2000": "QgsCoordinateReferenceSystem('EPSG:2451')"}, "OUTPUTS": {"": "E:/G\u7a7a\u9593\u60c5\u5831\u30bb\u30f3\u30bf\u30fc/09\u6803\u6728\u770c/39\u9b3c\u6012\u5ddd\u68ee\u6797\u8a08\u753b\u533aTKY2JGD/\u7b2c9\u7cfb/\u7b49\u9ad8\u7dda10m\u9593\u9694.fgb"}}</t>
  </si>
  <si>
    <t>{"PARAMETERS": {"2": "'E:/G\u7a7a\u9593\u60c5\u5831\u30bb\u30f3\u30bf\u30fc/09\u6803\u6728\u770c/40\u6e21\u826f\u702c\u5ddd\u68ee\u6797\u8a08\u753b\u533a/\u7b2c9\u7cfb/\u5883\u754c.shp'", "crsjgd2000": "QgsCoordinateReferenceSystem('EPSG:2451')"}, "OUTPUTS": {"": "E:/G\u7a7a\u9593\u60c5\u5831\u30bb\u30f3\u30bf\u30fc/09\u6803\u6728\u770c/40\u6e21\u826f\u702c\u5ddd\u68ee\u6797\u8a08\u753b\u533aTKY2JGD/\u7b2c9\u7cfb/\u5883\u754c.fgb"}}</t>
  </si>
  <si>
    <t>{"PARAMETERS": {"2": "'E:/G\u7a7a\u9593\u60c5\u5831\u30bb\u30f3\u30bf\u30fc/09\u6803\u6728\u770c/40\u6e21\u826f\u702c\u5ddd\u68ee\u6797\u8a08\u753b\u533a/\u7b2c9\u7cfb/\u6797\u73ed\u754c.shp'", "crsjgd2000": "QgsCoordinateReferenceSystem('EPSG:2451')"}, "OUTPUTS": {"": "E:/G\u7a7a\u9593\u60c5\u5831\u30bb\u30f3\u30bf\u30fc/09\u6803\u6728\u770c/40\u6e21\u826f\u702c\u5ddd\u68ee\u6797\u8a08\u753b\u533aTKY2JGD/\u7b2c9\u7cfb/\u6797\u73ed\u754c.fgb"}}</t>
  </si>
  <si>
    <t>{"PARAMETERS": {"2": "'E:/G\u7a7a\u9593\u60c5\u5831\u30bb\u30f3\u30bf\u30fc/09\u6803\u6728\u770c/40\u6e21\u826f\u702c\u5ddd\u68ee\u6797\u8a08\u753b\u533a/\u7b2c9\u7cfb/\u6797\u73ed\u533a\u753b.shp'", "crsjgd2000": "QgsCoordinateReferenceSystem('EPSG:2451')"}, "OUTPUTS": {"": "E:/G\u7a7a\u9593\u60c5\u5831\u30bb\u30f3\u30bf\u30fc/09\u6803\u6728\u770c/40\u6e21\u826f\u702c\u5ddd\u68ee\u6797\u8a08\u753b\u533aTKY2JGD/\u7b2c9\u7cfb/\u6797\u73ed\u533a\u753b.fgb"}}</t>
  </si>
  <si>
    <t>{"PARAMETERS": {"2": "'E:/G\u7a7a\u9593\u60c5\u5831\u30bb\u30f3\u30bf\u30fc/09\u6803\u6728\u770c/40\u6e21\u826f\u702c\u5ddd\u68ee\u6797\u8a08\u753b\u533a/\u7b2c9\u7cfb/\u5c0f\u73ed\u754c.shp'", "crsjgd2000": "QgsCoordinateReferenceSystem('EPSG:2451')"}, "OUTPUTS": {"": "E:/G\u7a7a\u9593\u60c5\u5831\u30bb\u30f3\u30bf\u30fc/09\u6803\u6728\u770c/40\u6e21\u826f\u702c\u5ddd\u68ee\u6797\u8a08\u753b\u533aTKY2JGD/\u7b2c9\u7cfb/\u5c0f\u73ed\u754c.fgb"}}</t>
  </si>
  <si>
    <t>{"PARAMETERS": {"2": "'E:/G\u7a7a\u9593\u60c5\u5831\u30bb\u30f3\u30bf\u30fc/09\u6803\u6728\u770c/40\u6e21\u826f\u702c\u5ddd\u68ee\u6797\u8a08\u753b\u533a/\u7b2c9\u7cfb/\u5c0f\u73ed\u533a\u753b.shp'", "crsjgd2000": "QgsCoordinateReferenceSystem('EPSG:2451')"}, "OUTPUTS": {"": "E:/G\u7a7a\u9593\u60c5\u5831\u30bb\u30f3\u30bf\u30fc/09\u6803\u6728\u770c/40\u6e21\u826f\u702c\u5ddd\u68ee\u6797\u8a08\u753b\u533aTKY2JGD/\u7b2c9\u7cfb/\u5c0f\u73ed\u533a\u753b.fgb"}}</t>
  </si>
  <si>
    <t>{"PARAMETERS": {"2": "'E:/G\u7a7a\u9593\u60c5\u5831\u30bb\u30f3\u30bf\u30fc/09\u6803\u6728\u770c/40\u6e21\u826f\u702c\u5ddd\u68ee\u6797\u8a08\u753b\u533a/\u7b2c9\u7cfb/\u6797\u9053.shp'", "crsjgd2000": "QgsCoordinateReferenceSystem('EPSG:2451')"}, "OUTPUTS": {"": "E:/G\u7a7a\u9593\u60c5\u5831\u30bb\u30f3\u30bf\u30fc/09\u6803\u6728\u770c/40\u6e21\u826f\u702c\u5ddd\u68ee\u6797\u8a08\u753b\u533aTKY2JGD/\u7b2c9\u7cfb/\u6797\u9053.fgb"}}</t>
  </si>
  <si>
    <t>{"PARAMETERS": {"2": "'E:/G\u7a7a\u9593\u60c5\u5831\u30bb\u30f3\u30bf\u30fc/09\u6803\u6728\u770c/40\u6e21\u826f\u702c\u5ddd\u68ee\u6797\u8a08\u753b\u533a/\u7b2c9\u7cfb/\u4f5c\u696d\u9053.shp'", "crsjgd2000": "QgsCoordinateReferenceSystem('EPSG:2451')"}, "OUTPUTS": {"": "E:/G\u7a7a\u9593\u60c5\u5831\u30bb\u30f3\u30bf\u30fc/09\u6803\u6728\u770c/40\u6e21\u826f\u702c\u5ddd\u68ee\u6797\u8a08\u753b\u533aTKY2JGD/\u7b2c9\u7cfb/\u4f5c\u696d\u9053.fgb"}}</t>
  </si>
  <si>
    <t>{"PARAMETERS": {"2": "'E:/G\u7a7a\u9593\u60c5\u5831\u30bb\u30f3\u30bf\u30fc/09\u6803\u6728\u770c/40\u6e21\u826f\u702c\u5ddd\u68ee\u6797\u8a08\u753b\u533a/\u7b2c9\u7cfb/\u7b49\u9ad8\u7dda10m\u9593\u9694.shp'", "crsjgd2000": "QgsCoordinateReferenceSystem('EPSG:2451')"}, "OUTPUTS": {"": "E:/G\u7a7a\u9593\u60c5\u5831\u30bb\u30f3\u30bf\u30fc/09\u6803\u6728\u770c/40\u6e21\u826f\u702c\u5ddd\u68ee\u6797\u8a08\u753b\u533aTKY2JGD/\u7b2c9\u7cfb/\u7b49\u9ad8\u7dda10m\u9593\u9694.fgb"}}</t>
  </si>
  <si>
    <t>{"PARAMETERS": {"2": "'E:/G\u7a7a\u9593\u60c5\u5831\u30bb\u30f3\u30bf\u30fc/10\u7fa4\u99ac\u770c/41\u5229\u6839\u4e0a\u6d41\u68ee\u6797\u8a08\u753b\u533a/\u7b2c9\u7cfb/\u5883\u754c.shp'", "crsjgd2000": "QgsCoordinateReferenceSystem('EPSG:2451')"}, "OUTPUTS": {"": "E:/G\u7a7a\u9593\u60c5\u5831\u30bb\u30f3\u30bf\u30fc/10\u7fa4\u99ac\u770c/41\u5229\u6839\u4e0a\u6d41\u68ee\u6797\u8a08\u753b\u533aTKY2JGD/\u7b2c9\u7cfb/\u5883\u754c.fgb"}}</t>
  </si>
  <si>
    <t>{"PARAMETERS": {"2": "'E:/G\u7a7a\u9593\u60c5\u5831\u30bb\u30f3\u30bf\u30fc/10\u7fa4\u99ac\u770c/41\u5229\u6839\u4e0a\u6d41\u68ee\u6797\u8a08\u753b\u533a/\u7b2c9\u7cfb/\u6797\u73ed\u754c.shp'", "crsjgd2000": "QgsCoordinateReferenceSystem('EPSG:2451')"}, "OUTPUTS": {"": "E:/G\u7a7a\u9593\u60c5\u5831\u30bb\u30f3\u30bf\u30fc/10\u7fa4\u99ac\u770c/41\u5229\u6839\u4e0a\u6d41\u68ee\u6797\u8a08\u753b\u533aTKY2JGD/\u7b2c9\u7cfb/\u6797\u73ed\u754c.fgb"}}</t>
  </si>
  <si>
    <t>{"PARAMETERS": {"2": "'E:/G\u7a7a\u9593\u60c5\u5831\u30bb\u30f3\u30bf\u30fc/10\u7fa4\u99ac\u770c/41\u5229\u6839\u4e0a\u6d41\u68ee\u6797\u8a08\u753b\u533a/\u7b2c9\u7cfb/\u6797\u73ed\u533a\u753b.shp'", "crsjgd2000": "QgsCoordinateReferenceSystem('EPSG:2451')"}, "OUTPUTS": {"": "E:/G\u7a7a\u9593\u60c5\u5831\u30bb\u30f3\u30bf\u30fc/10\u7fa4\u99ac\u770c/41\u5229\u6839\u4e0a\u6d41\u68ee\u6797\u8a08\u753b\u533aTKY2JGD/\u7b2c9\u7cfb/\u6797\u73ed\u533a\u753b.fgb"}}</t>
  </si>
  <si>
    <t>{"PARAMETERS": {"2": "'E:/G\u7a7a\u9593\u60c5\u5831\u30bb\u30f3\u30bf\u30fc/10\u7fa4\u99ac\u770c/41\u5229\u6839\u4e0a\u6d41\u68ee\u6797\u8a08\u753b\u533a/\u7b2c9\u7cfb/\u5c0f\u73ed\u754c.shp'", "crsjgd2000": "QgsCoordinateReferenceSystem('EPSG:2451')"}, "OUTPUTS": {"": "E:/G\u7a7a\u9593\u60c5\u5831\u30bb\u30f3\u30bf\u30fc/10\u7fa4\u99ac\u770c/41\u5229\u6839\u4e0a\u6d41\u68ee\u6797\u8a08\u753b\u533aTKY2JGD/\u7b2c9\u7cfb/\u5c0f\u73ed\u754c.fgb"}}</t>
  </si>
  <si>
    <t>{"PARAMETERS": {"2": "'E:/G\u7a7a\u9593\u60c5\u5831\u30bb\u30f3\u30bf\u30fc/10\u7fa4\u99ac\u770c/41\u5229\u6839\u4e0a\u6d41\u68ee\u6797\u8a08\u753b\u533a/\u7b2c9\u7cfb/\u5c0f\u73ed\u533a\u753b.shp'", "crsjgd2000": "QgsCoordinateReferenceSystem('EPSG:2451')"}, "OUTPUTS": {"": "E:/G\u7a7a\u9593\u60c5\u5831\u30bb\u30f3\u30bf\u30fc/10\u7fa4\u99ac\u770c/41\u5229\u6839\u4e0a\u6d41\u68ee\u6797\u8a08\u753b\u533aTKY2JGD/\u7b2c9\u7cfb/\u5c0f\u73ed\u533a\u753b.fgb"}}</t>
  </si>
  <si>
    <t>{"PARAMETERS": {"2": "'E:/G\u7a7a\u9593\u60c5\u5831\u30bb\u30f3\u30bf\u30fc/10\u7fa4\u99ac\u770c/41\u5229\u6839\u4e0a\u6d41\u68ee\u6797\u8a08\u753b\u533a/\u7b2c9\u7cfb/\u6797\u9053.shp'", "crsjgd2000": "QgsCoordinateReferenceSystem('EPSG:2451')"}, "OUTPUTS": {"": "E:/G\u7a7a\u9593\u60c5\u5831\u30bb\u30f3\u30bf\u30fc/10\u7fa4\u99ac\u770c/41\u5229\u6839\u4e0a\u6d41\u68ee\u6797\u8a08\u753b\u533aTKY2JGD/\u7b2c9\u7cfb/\u6797\u9053.fgb"}}</t>
  </si>
  <si>
    <t>{"PARAMETERS": {"2": "'E:/G\u7a7a\u9593\u60c5\u5831\u30bb\u30f3\u30bf\u30fc/10\u7fa4\u99ac\u770c/41\u5229\u6839\u4e0a\u6d41\u68ee\u6797\u8a08\u753b\u533a/\u7b2c9\u7cfb/\u4f5c\u696d\u9053.shp'", "crsjgd2000": "QgsCoordinateReferenceSystem('EPSG:2451')"}, "OUTPUTS": {"": "E:/G\u7a7a\u9593\u60c5\u5831\u30bb\u30f3\u30bf\u30fc/10\u7fa4\u99ac\u770c/41\u5229\u6839\u4e0a\u6d41\u68ee\u6797\u8a08\u753b\u533aTKY2JGD/\u7b2c9\u7cfb/\u4f5c\u696d\u9053.fgb"}}</t>
  </si>
  <si>
    <t>{"PARAMETERS": {"2": "'E:/G\u7a7a\u9593\u60c5\u5831\u30bb\u30f3\u30bf\u30fc/10\u7fa4\u99ac\u770c/41\u5229\u6839\u4e0a\u6d41\u68ee\u6797\u8a08\u753b\u533a/\u7b2c9\u7cfb/\u7b49\u9ad8\u7dda10m\u9593\u9694.shp'", "crsjgd2000": "QgsCoordinateReferenceSystem('EPSG:2451')"}, "OUTPUTS": {"": "E:/G\u7a7a\u9593\u60c5\u5831\u30bb\u30f3\u30bf\u30fc/10\u7fa4\u99ac\u770c/41\u5229\u6839\u4e0a\u6d41\u68ee\u6797\u8a08\u753b\u533aTKY2JGD/\u7b2c9\u7cfb/\u7b49\u9ad8\u7dda10m\u9593\u9694.fgb"}}</t>
  </si>
  <si>
    <t>{"PARAMETERS": {"2": "'E:/G\u7a7a\u9593\u60c5\u5831\u30bb\u30f3\u30bf\u30fc/10\u7fa4\u99ac\u770c/42\u543e\u59bb\u68ee\u6797\u8a08\u753b\u533a/\u7b2c9\u7cfb/\u5883\u754c.shp'", "crsjgd2000": "QgsCoordinateReferenceSystem('EPSG:2451')"}, "OUTPUTS": {"": "E:/G\u7a7a\u9593\u60c5\u5831\u30bb\u30f3\u30bf\u30fc/10\u7fa4\u99ac\u770c/42\u543e\u59bb\u68ee\u6797\u8a08\u753b\u533aTKY2JGD/\u7b2c9\u7cfb/\u5883\u754c.fgb"}}</t>
  </si>
  <si>
    <t>{"PARAMETERS": {"2": "'E:/G\u7a7a\u9593\u60c5\u5831\u30bb\u30f3\u30bf\u30fc/10\u7fa4\u99ac\u770c/42\u543e\u59bb\u68ee\u6797\u8a08\u753b\u533a/\u7b2c9\u7cfb/\u6797\u73ed\u754c.shp'", "crsjgd2000": "QgsCoordinateReferenceSystem('EPSG:2451')"}, "OUTPUTS": {"": "E:/G\u7a7a\u9593\u60c5\u5831\u30bb\u30f3\u30bf\u30fc/10\u7fa4\u99ac\u770c/42\u543e\u59bb\u68ee\u6797\u8a08\u753b\u533aTKY2JGD/\u7b2c9\u7cfb/\u6797\u73ed\u754c.fgb"}}</t>
  </si>
  <si>
    <t>{"PARAMETERS": {"2": "'E:/G\u7a7a\u9593\u60c5\u5831\u30bb\u30f3\u30bf\u30fc/10\u7fa4\u99ac\u770c/42\u543e\u59bb\u68ee\u6797\u8a08\u753b\u533a/\u7b2c9\u7cfb/\u6797\u73ed\u533a\u753b.shp'", "crsjgd2000": "QgsCoordinateReferenceSystem('EPSG:2451')"}, "OUTPUTS": {"": "E:/G\u7a7a\u9593\u60c5\u5831\u30bb\u30f3\u30bf\u30fc/10\u7fa4\u99ac\u770c/42\u543e\u59bb\u68ee\u6797\u8a08\u753b\u533aTKY2JGD/\u7b2c9\u7cfb/\u6797\u73ed\u533a\u753b.fgb"}}</t>
  </si>
  <si>
    <t>{"PARAMETERS": {"2": "'E:/G\u7a7a\u9593\u60c5\u5831\u30bb\u30f3\u30bf\u30fc/10\u7fa4\u99ac\u770c/42\u543e\u59bb\u68ee\u6797\u8a08\u753b\u533a/\u7b2c9\u7cfb/\u5c0f\u73ed\u754c.shp'", "crsjgd2000": "QgsCoordinateReferenceSystem('EPSG:2451')"}, "OUTPUTS": {"": "E:/G\u7a7a\u9593\u60c5\u5831\u30bb\u30f3\u30bf\u30fc/10\u7fa4\u99ac\u770c/42\u543e\u59bb\u68ee\u6797\u8a08\u753b\u533aTKY2JGD/\u7b2c9\u7cfb/\u5c0f\u73ed\u754c.fgb"}}</t>
  </si>
  <si>
    <t>{"PARAMETERS": {"2": "'E:/G\u7a7a\u9593\u60c5\u5831\u30bb\u30f3\u30bf\u30fc/10\u7fa4\u99ac\u770c/42\u543e\u59bb\u68ee\u6797\u8a08\u753b\u533a/\u7b2c9\u7cfb/\u5c0f\u73ed\u533a\u753b.shp'", "crsjgd2000": "QgsCoordinateReferenceSystem('EPSG:2451')"}, "OUTPUTS": {"": "E:/G\u7a7a\u9593\u60c5\u5831\u30bb\u30f3\u30bf\u30fc/10\u7fa4\u99ac\u770c/42\u543e\u59bb\u68ee\u6797\u8a08\u753b\u533aTKY2JGD/\u7b2c9\u7cfb/\u5c0f\u73ed\u533a\u753b.fgb"}}</t>
  </si>
  <si>
    <t>{"PARAMETERS": {"2": "'E:/G\u7a7a\u9593\u60c5\u5831\u30bb\u30f3\u30bf\u30fc/10\u7fa4\u99ac\u770c/42\u543e\u59bb\u68ee\u6797\u8a08\u753b\u533a/\u7b2c9\u7cfb/\u6797\u9053.shp'", "crsjgd2000": "QgsCoordinateReferenceSystem('EPSG:2451')"}, "OUTPUTS": {"": "E:/G\u7a7a\u9593\u60c5\u5831\u30bb\u30f3\u30bf\u30fc/10\u7fa4\u99ac\u770c/42\u543e\u59bb\u68ee\u6797\u8a08\u753b\u533aTKY2JGD/\u7b2c9\u7cfb/\u6797\u9053.fgb"}}</t>
  </si>
  <si>
    <t>{"PARAMETERS": {"2": "'E:/G\u7a7a\u9593\u60c5\u5831\u30bb\u30f3\u30bf\u30fc/10\u7fa4\u99ac\u770c/42\u543e\u59bb\u68ee\u6797\u8a08\u753b\u533a/\u7b2c9\u7cfb/\u4f5c\u696d\u9053.shp'", "crsjgd2000": "QgsCoordinateReferenceSystem('EPSG:2451')"}, "OUTPUTS": {"": "E:/G\u7a7a\u9593\u60c5\u5831\u30bb\u30f3\u30bf\u30fc/10\u7fa4\u99ac\u770c/42\u543e\u59bb\u68ee\u6797\u8a08\u753b\u533aTKY2JGD/\u7b2c9\u7cfb/\u4f5c\u696d\u9053.fgb"}}</t>
  </si>
  <si>
    <t>{"PARAMETERS": {"2": "'E:/G\u7a7a\u9593\u60c5\u5831\u30bb\u30f3\u30bf\u30fc/10\u7fa4\u99ac\u770c/42\u543e\u59bb\u68ee\u6797\u8a08\u753b\u533a/\u7b2c9\u7cfb/\u7b49\u9ad8\u7dda10m\u9593\u9694.shp'", "crsjgd2000": "QgsCoordinateReferenceSystem('EPSG:2451')"}, "OUTPUTS": {"": "E:/G\u7a7a\u9593\u60c5\u5831\u30bb\u30f3\u30bf\u30fc/10\u7fa4\u99ac\u770c/42\u543e\u59bb\u68ee\u6797\u8a08\u753b\u533aTKY2JGD/\u7b2c9\u7cfb/\u7b49\u9ad8\u7dda10m\u9593\u9694.fgb"}}</t>
  </si>
  <si>
    <t>{"PARAMETERS": {"2": "'E:/G\u7a7a\u9593\u60c5\u5831\u30bb\u30f3\u30bf\u30fc/10\u7fa4\u99ac\u770c/43\u5229\u6839\u4e0b\u6d41\u68ee\u6797\u8a08\u753b\u533a/\u7b2c9\u7cfb/\u5883\u754c.shp'", "crsjgd2000": "QgsCoordinateReferenceSystem('EPSG:2451')"}, "OUTPUTS": {"": "E:/G\u7a7a\u9593\u60c5\u5831\u30bb\u30f3\u30bf\u30fc/10\u7fa4\u99ac\u770c/43\u5229\u6839\u4e0b\u6d41\u68ee\u6797\u8a08\u753b\u533aTKY2JGD/\u7b2c9\u7cfb/\u5883\u754c.fgb"}}</t>
  </si>
  <si>
    <t>{"PARAMETERS": {"2": "'E:/G\u7a7a\u9593\u60c5\u5831\u30bb\u30f3\u30bf\u30fc/10\u7fa4\u99ac\u770c/43\u5229\u6839\u4e0b\u6d41\u68ee\u6797\u8a08\u753b\u533a/\u7b2c9\u7cfb/\u6797\u73ed\u754c.shp'", "crsjgd2000": "QgsCoordinateReferenceSystem('EPSG:2451')"}, "OUTPUTS": {"": "E:/G\u7a7a\u9593\u60c5\u5831\u30bb\u30f3\u30bf\u30fc/10\u7fa4\u99ac\u770c/43\u5229\u6839\u4e0b\u6d41\u68ee\u6797\u8a08\u753b\u533aTKY2JGD/\u7b2c9\u7cfb/\u6797\u73ed\u754c.fgb"}}</t>
  </si>
  <si>
    <t>{"PARAMETERS": {"2": "'E:/G\u7a7a\u9593\u60c5\u5831\u30bb\u30f3\u30bf\u30fc/10\u7fa4\u99ac\u770c/43\u5229\u6839\u4e0b\u6d41\u68ee\u6797\u8a08\u753b\u533a/\u7b2c9\u7cfb/\u6797\u73ed\u533a\u753b.shp'", "crsjgd2000": "QgsCoordinateReferenceSystem('EPSG:2451')"}, "OUTPUTS": {"": "E:/G\u7a7a\u9593\u60c5\u5831\u30bb\u30f3\u30bf\u30fc/10\u7fa4\u99ac\u770c/43\u5229\u6839\u4e0b\u6d41\u68ee\u6797\u8a08\u753b\u533aTKY2JGD/\u7b2c9\u7cfb/\u6797\u73ed\u533a\u753b.fgb"}}</t>
  </si>
  <si>
    <t>{"PARAMETERS": {"2": "'E:/G\u7a7a\u9593\u60c5\u5831\u30bb\u30f3\u30bf\u30fc/10\u7fa4\u99ac\u770c/43\u5229\u6839\u4e0b\u6d41\u68ee\u6797\u8a08\u753b\u533a/\u7b2c9\u7cfb/\u5c0f\u73ed\u754c.shp'", "crsjgd2000": "QgsCoordinateReferenceSystem('EPSG:2451')"}, "OUTPUTS": {"": "E:/G\u7a7a\u9593\u60c5\u5831\u30bb\u30f3\u30bf\u30fc/10\u7fa4\u99ac\u770c/43\u5229\u6839\u4e0b\u6d41\u68ee\u6797\u8a08\u753b\u533aTKY2JGD/\u7b2c9\u7cfb/\u5c0f\u73ed\u754c.fgb"}}</t>
  </si>
  <si>
    <t>{"PARAMETERS": {"2": "'E:/G\u7a7a\u9593\u60c5\u5831\u30bb\u30f3\u30bf\u30fc/10\u7fa4\u99ac\u770c/43\u5229\u6839\u4e0b\u6d41\u68ee\u6797\u8a08\u753b\u533a/\u7b2c9\u7cfb/\u5c0f\u73ed\u533a\u753b.shp'", "crsjgd2000": "QgsCoordinateReferenceSystem('EPSG:2451')"}, "OUTPUTS": {"": "E:/G\u7a7a\u9593\u60c5\u5831\u30bb\u30f3\u30bf\u30fc/10\u7fa4\u99ac\u770c/43\u5229\u6839\u4e0b\u6d41\u68ee\u6797\u8a08\u753b\u533aTKY2JGD/\u7b2c9\u7cfb/\u5c0f\u73ed\u533a\u753b.fgb"}}</t>
  </si>
  <si>
    <t>{"PARAMETERS": {"2": "'E:/G\u7a7a\u9593\u60c5\u5831\u30bb\u30f3\u30bf\u30fc/10\u7fa4\u99ac\u770c/43\u5229\u6839\u4e0b\u6d41\u68ee\u6797\u8a08\u753b\u533a/\u7b2c9\u7cfb/\u6797\u9053.shp'", "crsjgd2000": "QgsCoordinateReferenceSystem('EPSG:2451')"}, "OUTPUTS": {"": "E:/G\u7a7a\u9593\u60c5\u5831\u30bb\u30f3\u30bf\u30fc/10\u7fa4\u99ac\u770c/43\u5229\u6839\u4e0b\u6d41\u68ee\u6797\u8a08\u753b\u533aTKY2JGD/\u7b2c9\u7cfb/\u6797\u9053.fgb"}}</t>
  </si>
  <si>
    <t>{"PARAMETERS": {"2": "'E:/G\u7a7a\u9593\u60c5\u5831\u30bb\u30f3\u30bf\u30fc/10\u7fa4\u99ac\u770c/43\u5229\u6839\u4e0b\u6d41\u68ee\u6797\u8a08\u753b\u533a/\u7b2c9\u7cfb/\u4f5c\u696d\u9053.shp'", "crsjgd2000": "QgsCoordinateReferenceSystem('EPSG:2451')"}, "OUTPUTS": {"": "E:/G\u7a7a\u9593\u60c5\u5831\u30bb\u30f3\u30bf\u30fc/10\u7fa4\u99ac\u770c/43\u5229\u6839\u4e0b\u6d41\u68ee\u6797\u8a08\u753b\u533aTKY2JGD/\u7b2c9\u7cfb/\u4f5c\u696d\u9053.fgb"}}</t>
  </si>
  <si>
    <t>{"PARAMETERS": {"2": "'E:/G\u7a7a\u9593\u60c5\u5831\u30bb\u30f3\u30bf\u30fc/10\u7fa4\u99ac\u770c/43\u5229\u6839\u4e0b\u6d41\u68ee\u6797\u8a08\u753b\u533a/\u7b2c9\u7cfb/\u7b49\u9ad8\u7dda10m\u9593\u9694.shp'", "crsjgd2000": "QgsCoordinateReferenceSystem('EPSG:2451')"}, "OUTPUTS": {"": "E:/G\u7a7a\u9593\u60c5\u5831\u30bb\u30f3\u30bf\u30fc/10\u7fa4\u99ac\u770c/43\u5229\u6839\u4e0b\u6d41\u68ee\u6797\u8a08\u753b\u533aTKY2JGD/\u7b2c9\u7cfb/\u7b49\u9ad8\u7dda10m\u9593\u9694.fgb"}}</t>
  </si>
  <si>
    <t>{"PARAMETERS": {"2": "'E:/G\u7a7a\u9593\u60c5\u5831\u30bb\u30f3\u30bf\u30fc/10\u7fa4\u99ac\u770c/44\u897f\u6bdb\u68ee\u6797\u8a08\u753b\u533a/\u7b2c9\u7cfb/\u5883\u754c.shp'", "crsjgd2000": "QgsCoordinateReferenceSystem('EPSG:2451')"}, "OUTPUTS": {"": "E:/G\u7a7a\u9593\u60c5\u5831\u30bb\u30f3\u30bf\u30fc/10\u7fa4\u99ac\u770c/44\u897f\u6bdb\u68ee\u6797\u8a08\u753b\u533aTKY2JGD/\u7b2c9\u7cfb/\u5883\u754c.fgb"}}</t>
  </si>
  <si>
    <t>{"PARAMETERS": {"2": "'E:/G\u7a7a\u9593\u60c5\u5831\u30bb\u30f3\u30bf\u30fc/10\u7fa4\u99ac\u770c/44\u897f\u6bdb\u68ee\u6797\u8a08\u753b\u533a/\u7b2c9\u7cfb/\u6797\u73ed\u754c.shp'", "crsjgd2000": "QgsCoordinateReferenceSystem('EPSG:2451')"}, "OUTPUTS": {"": "E:/G\u7a7a\u9593\u60c5\u5831\u30bb\u30f3\u30bf\u30fc/10\u7fa4\u99ac\u770c/44\u897f\u6bdb\u68ee\u6797\u8a08\u753b\u533aTKY2JGD/\u7b2c9\u7cfb/\u6797\u73ed\u754c.fgb"}}</t>
  </si>
  <si>
    <t>{"PARAMETERS": {"2": "'E:/G\u7a7a\u9593\u60c5\u5831\u30bb\u30f3\u30bf\u30fc/10\u7fa4\u99ac\u770c/44\u897f\u6bdb\u68ee\u6797\u8a08\u753b\u533a/\u7b2c9\u7cfb/\u6797\u73ed\u533a\u753b.shp'", "crsjgd2000": "QgsCoordinateReferenceSystem('EPSG:2451')"}, "OUTPUTS": {"": "E:/G\u7a7a\u9593\u60c5\u5831\u30bb\u30f3\u30bf\u30fc/10\u7fa4\u99ac\u770c/44\u897f\u6bdb\u68ee\u6797\u8a08\u753b\u533aTKY2JGD/\u7b2c9\u7cfb/\u6797\u73ed\u533a\u753b.fgb"}}</t>
  </si>
  <si>
    <t>{"PARAMETERS": {"2": "'E:/G\u7a7a\u9593\u60c5\u5831\u30bb\u30f3\u30bf\u30fc/10\u7fa4\u99ac\u770c/44\u897f\u6bdb\u68ee\u6797\u8a08\u753b\u533a/\u7b2c9\u7cfb/\u5c0f\u73ed\u754c.shp'", "crsjgd2000": "QgsCoordinateReferenceSystem('EPSG:2451')"}, "OUTPUTS": {"": "E:/G\u7a7a\u9593\u60c5\u5831\u30bb\u30f3\u30bf\u30fc/10\u7fa4\u99ac\u770c/44\u897f\u6bdb\u68ee\u6797\u8a08\u753b\u533aTKY2JGD/\u7b2c9\u7cfb/\u5c0f\u73ed\u754c.fgb"}}</t>
  </si>
  <si>
    <t>{"PARAMETERS": {"2": "'E:/G\u7a7a\u9593\u60c5\u5831\u30bb\u30f3\u30bf\u30fc/10\u7fa4\u99ac\u770c/44\u897f\u6bdb\u68ee\u6797\u8a08\u753b\u533a/\u7b2c9\u7cfb/\u5c0f\u73ed\u533a\u753b.shp'", "crsjgd2000": "QgsCoordinateReferenceSystem('EPSG:2451')"}, "OUTPUTS": {"": "E:/G\u7a7a\u9593\u60c5\u5831\u30bb\u30f3\u30bf\u30fc/10\u7fa4\u99ac\u770c/44\u897f\u6bdb\u68ee\u6797\u8a08\u753b\u533aTKY2JGD/\u7b2c9\u7cfb/\u5c0f\u73ed\u533a\u753b.fgb"}}</t>
  </si>
  <si>
    <t>{"PARAMETERS": {"2": "'E:/G\u7a7a\u9593\u60c5\u5831\u30bb\u30f3\u30bf\u30fc/10\u7fa4\u99ac\u770c/44\u897f\u6bdb\u68ee\u6797\u8a08\u753b\u533a/\u7b2c9\u7cfb/\u6797\u9053.shp'", "crsjgd2000": "QgsCoordinateReferenceSystem('EPSG:2451')"}, "OUTPUTS": {"": "E:/G\u7a7a\u9593\u60c5\u5831\u30bb\u30f3\u30bf\u30fc/10\u7fa4\u99ac\u770c/44\u897f\u6bdb\u68ee\u6797\u8a08\u753b\u533aTKY2JGD/\u7b2c9\u7cfb/\u6797\u9053.fgb"}}</t>
  </si>
  <si>
    <t>{"PARAMETERS": {"2": "'E:/G\u7a7a\u9593\u60c5\u5831\u30bb\u30f3\u30bf\u30fc/10\u7fa4\u99ac\u770c/44\u897f\u6bdb\u68ee\u6797\u8a08\u753b\u533a/\u7b2c9\u7cfb/\u4f5c\u696d\u9053.shp'", "crsjgd2000": "QgsCoordinateReferenceSystem('EPSG:2451')"}, "OUTPUTS": {"": "E:/G\u7a7a\u9593\u60c5\u5831\u30bb\u30f3\u30bf\u30fc/10\u7fa4\u99ac\u770c/44\u897f\u6bdb\u68ee\u6797\u8a08\u753b\u533aTKY2JGD/\u7b2c9\u7cfb/\u4f5c\u696d\u9053.fgb"}}</t>
  </si>
  <si>
    <t>{"PARAMETERS": {"2": "'E:/G\u7a7a\u9593\u60c5\u5831\u30bb\u30f3\u30bf\u30fc/10\u7fa4\u99ac\u770c/44\u897f\u6bdb\u68ee\u6797\u8a08\u753b\u533a/\u7b2c9\u7cfb/\u7b49\u9ad8\u7dda10m\u9593\u9694.shp'", "crsjgd2000": "QgsCoordinateReferenceSystem('EPSG:2451')"}, "OUTPUTS": {"": "E:/G\u7a7a\u9593\u60c5\u5831\u30bb\u30f3\u30bf\u30fc/10\u7fa4\u99ac\u770c/44\u897f\u6bdb\u68ee\u6797\u8a08\u753b\u533aTKY2JGD/\u7b2c9\u7cfb/\u7b49\u9ad8\u7dda10m\u9593\u9694.fgb"}}</t>
  </si>
  <si>
    <t>{"PARAMETERS": {"2": "'E:/G\u7a7a\u9593\u60c5\u5831\u30bb\u30f3\u30bf\u30fc/11\u57fc\u7389\u770c/45\u57fc\u7389\u68ee\u6797\u8a08\u753b\u533a/\u7b2c9\u7cfb/\u5883\u754c.shp'", "crsjgd2000": "QgsCoordinateReferenceSystem('EPSG:2451')"}, "OUTPUTS": {"": "E:/G\u7a7a\u9593\u60c5\u5831\u30bb\u30f3\u30bf\u30fc/11\u57fc\u7389\u770c/45\u57fc\u7389\u68ee\u6797\u8a08\u753b\u533aTKY2JGD/\u7b2c9\u7cfb/\u5883\u754c.fgb"}}</t>
  </si>
  <si>
    <t>{"PARAMETERS": {"2": "'E:/G\u7a7a\u9593\u60c5\u5831\u30bb\u30f3\u30bf\u30fc/11\u57fc\u7389\u770c/45\u57fc\u7389\u68ee\u6797\u8a08\u753b\u533a/\u7b2c9\u7cfb/\u6797\u73ed\u754c.shp'", "crsjgd2000": "QgsCoordinateReferenceSystem('EPSG:2451')"}, "OUTPUTS": {"": "E:/G\u7a7a\u9593\u60c5\u5831\u30bb\u30f3\u30bf\u30fc/11\u57fc\u7389\u770c/45\u57fc\u7389\u68ee\u6797\u8a08\u753b\u533aTKY2JGD/\u7b2c9\u7cfb/\u6797\u73ed\u754c.fgb"}}</t>
  </si>
  <si>
    <t>{"PARAMETERS": {"2": "'E:/G\u7a7a\u9593\u60c5\u5831\u30bb\u30f3\u30bf\u30fc/11\u57fc\u7389\u770c/45\u57fc\u7389\u68ee\u6797\u8a08\u753b\u533a/\u7b2c9\u7cfb/\u6797\u73ed\u533a\u753b.shp'", "crsjgd2000": "QgsCoordinateReferenceSystem('EPSG:2451')"}, "OUTPUTS": {"": "E:/G\u7a7a\u9593\u60c5\u5831\u30bb\u30f3\u30bf\u30fc/11\u57fc\u7389\u770c/45\u57fc\u7389\u68ee\u6797\u8a08\u753b\u533aTKY2JGD/\u7b2c9\u7cfb/\u6797\u73ed\u533a\u753b.fgb"}}</t>
  </si>
  <si>
    <t>{"PARAMETERS": {"2": "'E:/G\u7a7a\u9593\u60c5\u5831\u30bb\u30f3\u30bf\u30fc/11\u57fc\u7389\u770c/45\u57fc\u7389\u68ee\u6797\u8a08\u753b\u533a/\u7b2c9\u7cfb/\u5c0f\u73ed\u754c.shp'", "crsjgd2000": "QgsCoordinateReferenceSystem('EPSG:2451')"}, "OUTPUTS": {"": "E:/G\u7a7a\u9593\u60c5\u5831\u30bb\u30f3\u30bf\u30fc/11\u57fc\u7389\u770c/45\u57fc\u7389\u68ee\u6797\u8a08\u753b\u533aTKY2JGD/\u7b2c9\u7cfb/\u5c0f\u73ed\u754c.fgb"}}</t>
  </si>
  <si>
    <t>{"PARAMETERS": {"2": "'E:/G\u7a7a\u9593\u60c5\u5831\u30bb\u30f3\u30bf\u30fc/11\u57fc\u7389\u770c/45\u57fc\u7389\u68ee\u6797\u8a08\u753b\u533a/\u7b2c9\u7cfb/\u5c0f\u73ed\u533a\u753b.shp'", "crsjgd2000": "QgsCoordinateReferenceSystem('EPSG:2451')"}, "OUTPUTS": {"": "E:/G\u7a7a\u9593\u60c5\u5831\u30bb\u30f3\u30bf\u30fc/11\u57fc\u7389\u770c/45\u57fc\u7389\u68ee\u6797\u8a08\u753b\u533aTKY2JGD/\u7b2c9\u7cfb/\u5c0f\u73ed\u533a\u753b.fgb"}}</t>
  </si>
  <si>
    <t>{"PARAMETERS": {"2": "'E:/G\u7a7a\u9593\u60c5\u5831\u30bb\u30f3\u30bf\u30fc/11\u57fc\u7389\u770c/45\u57fc\u7389\u68ee\u6797\u8a08\u753b\u533a/\u7b2c9\u7cfb/\u6797\u9053.shp'", "crsjgd2000": "QgsCoordinateReferenceSystem('EPSG:2451')"}, "OUTPUTS": {"": "E:/G\u7a7a\u9593\u60c5\u5831\u30bb\u30f3\u30bf\u30fc/11\u57fc\u7389\u770c/45\u57fc\u7389\u68ee\u6797\u8a08\u753b\u533aTKY2JGD/\u7b2c9\u7cfb/\u6797\u9053.fgb"}}</t>
  </si>
  <si>
    <t>{"PARAMETERS": {"2": "'E:/G\u7a7a\u9593\u60c5\u5831\u30bb\u30f3\u30bf\u30fc/11\u57fc\u7389\u770c/45\u57fc\u7389\u68ee\u6797\u8a08\u753b\u533a/\u7b2c9\u7cfb/\u4f5c\u696d\u9053.shp'", "crsjgd2000": "QgsCoordinateReferenceSystem('EPSG:2451')"}, "OUTPUTS": {"": "E:/G\u7a7a\u9593\u60c5\u5831\u30bb\u30f3\u30bf\u30fc/11\u57fc\u7389\u770c/45\u57fc\u7389\u68ee\u6797\u8a08\u753b\u533aTKY2JGD/\u7b2c9\u7cfb/\u4f5c\u696d\u9053.fgb"}}</t>
  </si>
  <si>
    <t>{"PARAMETERS": {"2": "'E:/G\u7a7a\u9593\u60c5\u5831\u30bb\u30f3\u30bf\u30fc/11\u57fc\u7389\u770c/45\u57fc\u7389\u68ee\u6797\u8a08\u753b\u533a/\u7b2c9\u7cfb/\u7b49\u9ad8\u7dda10m\u9593\u9694.shp'", "crsjgd2000": "QgsCoordinateReferenceSystem('EPSG:2451')"}, "OUTPUTS": {"": "E:/G\u7a7a\u9593\u60c5\u5831\u30bb\u30f3\u30bf\u30fc/11\u57fc\u7389\u770c/45\u57fc\u7389\u68ee\u6797\u8a08\u753b\u533aTKY2JGD/\u7b2c9\u7cfb/\u7b49\u9ad8\u7dda10m\u9593\u9694.fgb"}}</t>
  </si>
  <si>
    <t>{"PARAMETERS": {"2": "'E:/G\u7a7a\u9593\u60c5\u5831\u30bb\u30f3\u30bf\u30fc/12\u5343\u8449\u770c/46\u5343\u8449\u5317\u90e8\u68ee\u6797\u8a08\u753b\u533a/\u7b2c9\u7cfb/\u5883\u754c.shp'", "crsjgd2000": "QgsCoordinateReferenceSystem('EPSG:2451')"}, "OUTPUTS": {"": "E:/G\u7a7a\u9593\u60c5\u5831\u30bb\u30f3\u30bf\u30fc/12\u5343\u8449\u770c/46\u5343\u8449\u5317\u90e8\u68ee\u6797\u8a08\u753b\u533aTKY2JGD/\u7b2c9\u7cfb/\u5883\u754c.fgb"}}</t>
  </si>
  <si>
    <t>{"PARAMETERS": {"2": "'E:/G\u7a7a\u9593\u60c5\u5831\u30bb\u30f3\u30bf\u30fc/12\u5343\u8449\u770c/46\u5343\u8449\u5317\u90e8\u68ee\u6797\u8a08\u753b\u533a/\u7b2c9\u7cfb/\u6797\u73ed\u754c.shp'", "crsjgd2000": "QgsCoordinateReferenceSystem('EPSG:2451')"}, "OUTPUTS": {"": "E:/G\u7a7a\u9593\u60c5\u5831\u30bb\u30f3\u30bf\u30fc/12\u5343\u8449\u770c/46\u5343\u8449\u5317\u90e8\u68ee\u6797\u8a08\u753b\u533aTKY2JGD/\u7b2c9\u7cfb/\u6797\u73ed\u754c.fgb"}}</t>
  </si>
  <si>
    <t>{"PARAMETERS": {"2": "'E:/G\u7a7a\u9593\u60c5\u5831\u30bb\u30f3\u30bf\u30fc/12\u5343\u8449\u770c/46\u5343\u8449\u5317\u90e8\u68ee\u6797\u8a08\u753b\u533a/\u7b2c9\u7cfb/\u6797\u73ed\u533a\u753b.shp'", "crsjgd2000": "QgsCoordinateReferenceSystem('EPSG:2451')"}, "OUTPUTS": {"": "E:/G\u7a7a\u9593\u60c5\u5831\u30bb\u30f3\u30bf\u30fc/12\u5343\u8449\u770c/46\u5343\u8449\u5317\u90e8\u68ee\u6797\u8a08\u753b\u533aTKY2JGD/\u7b2c9\u7cfb/\u6797\u73ed\u533a\u753b.fgb"}}</t>
  </si>
  <si>
    <t>{"PARAMETERS": {"2": "'E:/G\u7a7a\u9593\u60c5\u5831\u30bb\u30f3\u30bf\u30fc/12\u5343\u8449\u770c/46\u5343\u8449\u5317\u90e8\u68ee\u6797\u8a08\u753b\u533a/\u7b2c9\u7cfb/\u5c0f\u73ed\u754c.shp'", "crsjgd2000": "QgsCoordinateReferenceSystem('EPSG:2451')"}, "OUTPUTS": {"": "E:/G\u7a7a\u9593\u60c5\u5831\u30bb\u30f3\u30bf\u30fc/12\u5343\u8449\u770c/46\u5343\u8449\u5317\u90e8\u68ee\u6797\u8a08\u753b\u533aTKY2JGD/\u7b2c9\u7cfb/\u5c0f\u73ed\u754c.fgb"}}</t>
  </si>
  <si>
    <t>{"PARAMETERS": {"2": "'E:/G\u7a7a\u9593\u60c5\u5831\u30bb\u30f3\u30bf\u30fc/12\u5343\u8449\u770c/46\u5343\u8449\u5317\u90e8\u68ee\u6797\u8a08\u753b\u533a/\u7b2c9\u7cfb/\u5c0f\u73ed\u533a\u753b.shp'", "crsjgd2000": "QgsCoordinateReferenceSystem('EPSG:2451')"}, "OUTPUTS": {"": "E:/G\u7a7a\u9593\u60c5\u5831\u30bb\u30f3\u30bf\u30fc/12\u5343\u8449\u770c/46\u5343\u8449\u5317\u90e8\u68ee\u6797\u8a08\u753b\u533aTKY2JGD/\u7b2c9\u7cfb/\u5c0f\u73ed\u533a\u753b.fgb"}}</t>
  </si>
  <si>
    <t>{"PARAMETERS": {"2": "'E:/G\u7a7a\u9593\u60c5\u5831\u30bb\u30f3\u30bf\u30fc/12\u5343\u8449\u770c/46\u5343\u8449\u5317\u90e8\u68ee\u6797\u8a08\u753b\u533a/\u7b2c9\u7cfb/\u6797\u9053.shp'", "crsjgd2000": "QgsCoordinateReferenceSystem('EPSG:2451')"}, "OUTPUTS": {"": "E:/G\u7a7a\u9593\u60c5\u5831\u30bb\u30f3\u30bf\u30fc/12\u5343\u8449\u770c/46\u5343\u8449\u5317\u90e8\u68ee\u6797\u8a08\u753b\u533aTKY2JGD/\u7b2c9\u7cfb/\u6797\u9053.fgb"}}</t>
  </si>
  <si>
    <t>{"PARAMETERS": {"2": "'E:/G\u7a7a\u9593\u60c5\u5831\u30bb\u30f3\u30bf\u30fc/12\u5343\u8449\u770c/46\u5343\u8449\u5317\u90e8\u68ee\u6797\u8a08\u753b\u533a/\u7b2c9\u7cfb/\u4f5c\u696d\u9053.shp'", "crsjgd2000": "QgsCoordinateReferenceSystem('EPSG:2451')"}, "OUTPUTS": {"": "E:/G\u7a7a\u9593\u60c5\u5831\u30bb\u30f3\u30bf\u30fc/12\u5343\u8449\u770c/46\u5343\u8449\u5317\u90e8\u68ee\u6797\u8a08\u753b\u533aTKY2JGD/\u7b2c9\u7cfb/\u4f5c\u696d\u9053.fgb"}}</t>
  </si>
  <si>
    <t>{"PARAMETERS": {"2": "'E:/G\u7a7a\u9593\u60c5\u5831\u30bb\u30f3\u30bf\u30fc/12\u5343\u8449\u770c/46\u5343\u8449\u5317\u90e8\u68ee\u6797\u8a08\u753b\u533a/\u7b2c9\u7cfb/\u7b49\u9ad8\u7dda10m\u9593\u9694.shp'", "crsjgd2000": "QgsCoordinateReferenceSystem('EPSG:2451')"}, "OUTPUTS": {"": "E:/G\u7a7a\u9593\u60c5\u5831\u30bb\u30f3\u30bf\u30fc/12\u5343\u8449\u770c/46\u5343\u8449\u5317\u90e8\u68ee\u6797\u8a08\u753b\u533aTKY2JGD/\u7b2c9\u7cfb/\u7b49\u9ad8\u7dda10m\u9593\u9694.fgb"}}</t>
  </si>
  <si>
    <t>{"PARAMETERS": {"2": "'E:/G\u7a7a\u9593\u60c5\u5831\u30bb\u30f3\u30bf\u30fc/12\u5343\u8449\u770c/47\u5343\u8449\u5357\u90e8\u68ee\u6797\u8a08\u753b\u533a/\u7b2c9\u7cfb/\u5883\u754c.shp'", "crsjgd2000": "QgsCoordinateReferenceSystem('EPSG:2451')"}, "OUTPUTS": {"": "E:/G\u7a7a\u9593\u60c5\u5831\u30bb\u30f3\u30bf\u30fc/12\u5343\u8449\u770c/47\u5343\u8449\u5357\u90e8\u68ee\u6797\u8a08\u753b\u533aTKY2JGD/\u7b2c9\u7cfb/\u5883\u754c.fgb"}}</t>
  </si>
  <si>
    <t>{"PARAMETERS": {"2": "'E:/G\u7a7a\u9593\u60c5\u5831\u30bb\u30f3\u30bf\u30fc/12\u5343\u8449\u770c/47\u5343\u8449\u5357\u90e8\u68ee\u6797\u8a08\u753b\u533a/\u7b2c9\u7cfb/\u6797\u73ed\u754c.shp'", "crsjgd2000": "QgsCoordinateReferenceSystem('EPSG:2451')"}, "OUTPUTS": {"": "E:/G\u7a7a\u9593\u60c5\u5831\u30bb\u30f3\u30bf\u30fc/12\u5343\u8449\u770c/47\u5343\u8449\u5357\u90e8\u68ee\u6797\u8a08\u753b\u533aTKY2JGD/\u7b2c9\u7cfb/\u6797\u73ed\u754c.fgb"}}</t>
  </si>
  <si>
    <t>{"PARAMETERS": {"2": "'E:/G\u7a7a\u9593\u60c5\u5831\u30bb\u30f3\u30bf\u30fc/12\u5343\u8449\u770c/47\u5343\u8449\u5357\u90e8\u68ee\u6797\u8a08\u753b\u533a/\u7b2c9\u7cfb/\u6797\u73ed\u533a\u753b.shp'", "crsjgd2000": "QgsCoordinateReferenceSystem('EPSG:2451')"}, "OUTPUTS": {"": "E:/G\u7a7a\u9593\u60c5\u5831\u30bb\u30f3\u30bf\u30fc/12\u5343\u8449\u770c/47\u5343\u8449\u5357\u90e8\u68ee\u6797\u8a08\u753b\u533aTKY2JGD/\u7b2c9\u7cfb/\u6797\u73ed\u533a\u753b.fgb"}}</t>
  </si>
  <si>
    <t>{"PARAMETERS": {"2": "'E:/G\u7a7a\u9593\u60c5\u5831\u30bb\u30f3\u30bf\u30fc/12\u5343\u8449\u770c/47\u5343\u8449\u5357\u90e8\u68ee\u6797\u8a08\u753b\u533a/\u7b2c9\u7cfb/\u5c0f\u73ed\u754c.shp'", "crsjgd2000": "QgsCoordinateReferenceSystem('EPSG:2451')"}, "OUTPUTS": {"": "E:/G\u7a7a\u9593\u60c5\u5831\u30bb\u30f3\u30bf\u30fc/12\u5343\u8449\u770c/47\u5343\u8449\u5357\u90e8\u68ee\u6797\u8a08\u753b\u533aTKY2JGD/\u7b2c9\u7cfb/\u5c0f\u73ed\u754c.fgb"}}</t>
  </si>
  <si>
    <t>{"PARAMETERS": {"2": "'E:/G\u7a7a\u9593\u60c5\u5831\u30bb\u30f3\u30bf\u30fc/12\u5343\u8449\u770c/47\u5343\u8449\u5357\u90e8\u68ee\u6797\u8a08\u753b\u533a/\u7b2c9\u7cfb/\u5c0f\u73ed\u533a\u753b.shp'", "crsjgd2000": "QgsCoordinateReferenceSystem('EPSG:2451')"}, "OUTPUTS": {"": "E:/G\u7a7a\u9593\u60c5\u5831\u30bb\u30f3\u30bf\u30fc/12\u5343\u8449\u770c/47\u5343\u8449\u5357\u90e8\u68ee\u6797\u8a08\u753b\u533aTKY2JGD/\u7b2c9\u7cfb/\u5c0f\u73ed\u533a\u753b.fgb"}}</t>
  </si>
  <si>
    <t>{"PARAMETERS": {"2": "'E:/G\u7a7a\u9593\u60c5\u5831\u30bb\u30f3\u30bf\u30fc/12\u5343\u8449\u770c/47\u5343\u8449\u5357\u90e8\u68ee\u6797\u8a08\u753b\u533a/\u7b2c9\u7cfb/\u6797\u9053.shp'", "crsjgd2000": "QgsCoordinateReferenceSystem('EPSG:2451')"}, "OUTPUTS": {"": "E:/G\u7a7a\u9593\u60c5\u5831\u30bb\u30f3\u30bf\u30fc/12\u5343\u8449\u770c/47\u5343\u8449\u5357\u90e8\u68ee\u6797\u8a08\u753b\u533aTKY2JGD/\u7b2c9\u7cfb/\u6797\u9053.fgb"}}</t>
  </si>
  <si>
    <t>{"PARAMETERS": {"2": "'E:/G\u7a7a\u9593\u60c5\u5831\u30bb\u30f3\u30bf\u30fc/12\u5343\u8449\u770c/47\u5343\u8449\u5357\u90e8\u68ee\u6797\u8a08\u753b\u533a/\u7b2c9\u7cfb/\u4f5c\u696d\u9053.shp'", "crsjgd2000": "QgsCoordinateReferenceSystem('EPSG:2451')"}, "OUTPUTS": {"": "E:/G\u7a7a\u9593\u60c5\u5831\u30bb\u30f3\u30bf\u30fc/12\u5343\u8449\u770c/47\u5343\u8449\u5357\u90e8\u68ee\u6797\u8a08\u753b\u533aTKY2JGD/\u7b2c9\u7cfb/\u4f5c\u696d\u9053.fgb"}}</t>
  </si>
  <si>
    <t>{"PARAMETERS": {"2": "'E:/G\u7a7a\u9593\u60c5\u5831\u30bb\u30f3\u30bf\u30fc/12\u5343\u8449\u770c/47\u5343\u8449\u5357\u90e8\u68ee\u6797\u8a08\u753b\u533a/\u7b2c9\u7cfb/\u7b49\u9ad8\u7dda10m\u9593\u9694.shp'", "crsjgd2000": "QgsCoordinateReferenceSystem('EPSG:2451')"}, "OUTPUTS": {"": "E:/G\u7a7a\u9593\u60c5\u5831\u30bb\u30f3\u30bf\u30fc/12\u5343\u8449\u770c/47\u5343\u8449\u5357\u90e8\u68ee\u6797\u8a08\u753b\u533aTKY2JGD/\u7b2c9\u7cfb/\u7b49\u9ad8\u7dda10m\u9593\u9694.fgb"}}</t>
  </si>
  <si>
    <t>{"PARAMETERS": {"2": "'E:/G\u7a7a\u9593\u60c5\u5831\u30bb\u30f3\u30bf\u30fc/13\u6771\u4eac\u90fd/48\u591a\u6469\u68ee\u6797\u8a08\u753b\u533a/\u7b2c9\u7cfb/\u5883\u754c.shp'", "crsjgd2000": "QgsCoordinateReferenceSystem('EPSG:2451')"}, "OUTPUTS": {"": "E:/G\u7a7a\u9593\u60c5\u5831\u30bb\u30f3\u30bf\u30fc/13\u6771\u4eac\u90fd/48\u591a\u6469\u68ee\u6797\u8a08\u753b\u533aTKY2JGD/\u7b2c9\u7cfb/\u5883\u754c.fgb"}}</t>
  </si>
  <si>
    <t>{"PARAMETERS": {"2": "'E:/G\u7a7a\u9593\u60c5\u5831\u30bb\u30f3\u30bf\u30fc/13\u6771\u4eac\u90fd/48\u591a\u6469\u68ee\u6797\u8a08\u753b\u533a/\u7b2c9\u7cfb/\u6797\u73ed\u754c.shp'", "crsjgd2000": "QgsCoordinateReferenceSystem('EPSG:2451')"}, "OUTPUTS": {"": "E:/G\u7a7a\u9593\u60c5\u5831\u30bb\u30f3\u30bf\u30fc/13\u6771\u4eac\u90fd/48\u591a\u6469\u68ee\u6797\u8a08\u753b\u533aTKY2JGD/\u7b2c9\u7cfb/\u6797\u73ed\u754c.fgb"}}</t>
  </si>
  <si>
    <t>{"PARAMETERS": {"2": "'E:/G\u7a7a\u9593\u60c5\u5831\u30bb\u30f3\u30bf\u30fc/13\u6771\u4eac\u90fd/48\u591a\u6469\u68ee\u6797\u8a08\u753b\u533a/\u7b2c9\u7cfb/\u6797\u73ed\u533a\u753b.shp'", "crsjgd2000": "QgsCoordinateReferenceSystem('EPSG:2451')"}, "OUTPUTS": {"": "E:/G\u7a7a\u9593\u60c5\u5831\u30bb\u30f3\u30bf\u30fc/13\u6771\u4eac\u90fd/48\u591a\u6469\u68ee\u6797\u8a08\u753b\u533aTKY2JGD/\u7b2c9\u7cfb/\u6797\u73ed\u533a\u753b.fgb"}}</t>
  </si>
  <si>
    <t>{"PARAMETERS": {"2": "'E:/G\u7a7a\u9593\u60c5\u5831\u30bb\u30f3\u30bf\u30fc/13\u6771\u4eac\u90fd/48\u591a\u6469\u68ee\u6797\u8a08\u753b\u533a/\u7b2c9\u7cfb/\u5c0f\u73ed\u754c.shp'", "crsjgd2000": "QgsCoordinateReferenceSystem('EPSG:2451')"}, "OUTPUTS": {"": "E:/G\u7a7a\u9593\u60c5\u5831\u30bb\u30f3\u30bf\u30fc/13\u6771\u4eac\u90fd/48\u591a\u6469\u68ee\u6797\u8a08\u753b\u533aTKY2JGD/\u7b2c9\u7cfb/\u5c0f\u73ed\u754c.fgb"}}</t>
  </si>
  <si>
    <t>{"PARAMETERS": {"2": "'E:/G\u7a7a\u9593\u60c5\u5831\u30bb\u30f3\u30bf\u30fc/13\u6771\u4eac\u90fd/48\u591a\u6469\u68ee\u6797\u8a08\u753b\u533a/\u7b2c9\u7cfb/\u5c0f\u73ed\u533a\u753b.shp'", "crsjgd2000": "QgsCoordinateReferenceSystem('EPSG:2451')"}, "OUTPUTS": {"": "E:/G\u7a7a\u9593\u60c5\u5831\u30bb\u30f3\u30bf\u30fc/13\u6771\u4eac\u90fd/48\u591a\u6469\u68ee\u6797\u8a08\u753b\u533aTKY2JGD/\u7b2c9\u7cfb/\u5c0f\u73ed\u533a\u753b.fgb"}}</t>
  </si>
  <si>
    <t>{"PARAMETERS": {"2": "'E:/G\u7a7a\u9593\u60c5\u5831\u30bb\u30f3\u30bf\u30fc/13\u6771\u4eac\u90fd/48\u591a\u6469\u68ee\u6797\u8a08\u753b\u533a/\u7b2c9\u7cfb/\u6797\u9053.shp'", "crsjgd2000": "QgsCoordinateReferenceSystem('EPSG:2451')"}, "OUTPUTS": {"": "E:/G\u7a7a\u9593\u60c5\u5831\u30bb\u30f3\u30bf\u30fc/13\u6771\u4eac\u90fd/48\u591a\u6469\u68ee\u6797\u8a08\u753b\u533aTKY2JGD/\u7b2c9\u7cfb/\u6797\u9053.fgb"}}</t>
  </si>
  <si>
    <t>{"PARAMETERS": {"2": "'E:/G\u7a7a\u9593\u60c5\u5831\u30bb\u30f3\u30bf\u30fc/13\u6771\u4eac\u90fd/48\u591a\u6469\u68ee\u6797\u8a08\u753b\u533a/\u7b2c9\u7cfb/\u4f5c\u696d\u9053.shp'", "crsjgd2000": "QgsCoordinateReferenceSystem('EPSG:2451')"}, "OUTPUTS": {"": "E:/G\u7a7a\u9593\u60c5\u5831\u30bb\u30f3\u30bf\u30fc/13\u6771\u4eac\u90fd/48\u591a\u6469\u68ee\u6797\u8a08\u753b\u533aTKY2JGD/\u7b2c9\u7cfb/\u4f5c\u696d\u9053.fgb"}}</t>
  </si>
  <si>
    <t>{"PARAMETERS": {"2": "'E:/G\u7a7a\u9593\u60c5\u5831\u30bb\u30f3\u30bf\u30fc/13\u6771\u4eac\u90fd/48\u591a\u6469\u68ee\u6797\u8a08\u753b\u533a/\u7b2c9\u7cfb/\u7b49\u9ad8\u7dda10m\u9593\u9694.shp'", "crsjgd2000": "QgsCoordinateReferenceSystem('EPSG:2451')"}, "OUTPUTS": {"": "E:/G\u7a7a\u9593\u60c5\u5831\u30bb\u30f3\u30bf\u30fc/13\u6771\u4eac\u90fd/48\u591a\u6469\u68ee\u6797\u8a08\u753b\u533aTKY2JGD/\u7b2c9\u7cfb/\u7b49\u9ad8\u7dda10m\u9593\u9694.fgb"}}</t>
  </si>
  <si>
    <t>{"PARAMETERS": {"2": "'E:/G\u7a7a\u9593\u60c5\u5831\u30bb\u30f3\u30bf\u30fc/13\u6771\u4eac\u90fd/49\u4f0a\u8c46\u8af8\u5cf6\u68ee\u6797\u8a08\u753b\u533a/\u7b2c14\u7cfb/\u5883\u754c.shp'", "crsjgd2000": "QgsCoordinateReferenceSystem('EPSG:2456')"}, "OUTPUTS": {"": "E:/G\u7a7a\u9593\u60c5\u5831\u30bb\u30f3\u30bf\u30fc/13\u6771\u4eac\u90fd/49\u4f0a\u8c46\u8af8\u5cf6\u68ee\u6797\u8a08\u753b\u533aTKY2JGD/\u7b2c14\u7cfb/\u5883\u754c.fgb"}}</t>
  </si>
  <si>
    <t>{"PARAMETERS": {"2": "'E:/G\u7a7a\u9593\u60c5\u5831\u30bb\u30f3\u30bf\u30fc/13\u6771\u4eac\u90fd/49\u4f0a\u8c46\u8af8\u5cf6\u68ee\u6797\u8a08\u753b\u533a/\u7b2c14\u7cfb/\u6797\u73ed\u754c.shp'", "crsjgd2000": "QgsCoordinateReferenceSystem('EPSG:2456')"}, "OUTPUTS": {"": "E:/G\u7a7a\u9593\u60c5\u5831\u30bb\u30f3\u30bf\u30fc/13\u6771\u4eac\u90fd/49\u4f0a\u8c46\u8af8\u5cf6\u68ee\u6797\u8a08\u753b\u533aTKY2JGD/\u7b2c14\u7cfb/\u6797\u73ed\u754c.fgb"}}</t>
  </si>
  <si>
    <t>{"PARAMETERS": {"2": "'E:/G\u7a7a\u9593\u60c5\u5831\u30bb\u30f3\u30bf\u30fc/13\u6771\u4eac\u90fd/49\u4f0a\u8c46\u8af8\u5cf6\u68ee\u6797\u8a08\u753b\u533a/\u7b2c14\u7cfb/\u6797\u73ed\u533a\u753b.shp'", "crsjgd2000": "QgsCoordinateReferenceSystem('EPSG:2456')"}, "OUTPUTS": {"": "E:/G\u7a7a\u9593\u60c5\u5831\u30bb\u30f3\u30bf\u30fc/13\u6771\u4eac\u90fd/49\u4f0a\u8c46\u8af8\u5cf6\u68ee\u6797\u8a08\u753b\u533aTKY2JGD/\u7b2c14\u7cfb/\u6797\u73ed\u533a\u753b.fgb"}}</t>
  </si>
  <si>
    <t>{"PARAMETERS": {"2": "'E:/G\u7a7a\u9593\u60c5\u5831\u30bb\u30f3\u30bf\u30fc/13\u6771\u4eac\u90fd/49\u4f0a\u8c46\u8af8\u5cf6\u68ee\u6797\u8a08\u753b\u533a/\u7b2c14\u7cfb/\u5c0f\u73ed\u754c.shp'", "crsjgd2000": "QgsCoordinateReferenceSystem('EPSG:2456')"}, "OUTPUTS": {"": "E:/G\u7a7a\u9593\u60c5\u5831\u30bb\u30f3\u30bf\u30fc/13\u6771\u4eac\u90fd/49\u4f0a\u8c46\u8af8\u5cf6\u68ee\u6797\u8a08\u753b\u533aTKY2JGD/\u7b2c14\u7cfb/\u5c0f\u73ed\u754c.fgb"}}</t>
  </si>
  <si>
    <t>{"PARAMETERS": {"2": "'E:/G\u7a7a\u9593\u60c5\u5831\u30bb\u30f3\u30bf\u30fc/13\u6771\u4eac\u90fd/49\u4f0a\u8c46\u8af8\u5cf6\u68ee\u6797\u8a08\u753b\u533a/\u7b2c14\u7cfb/\u5c0f\u73ed\u533a\u753b.shp'", "crsjgd2000": "QgsCoordinateReferenceSystem('EPSG:2456')"}, "OUTPUTS": {"": "E:/G\u7a7a\u9593\u60c5\u5831\u30bb\u30f3\u30bf\u30fc/13\u6771\u4eac\u90fd/49\u4f0a\u8c46\u8af8\u5cf6\u68ee\u6797\u8a08\u753b\u533aTKY2JGD/\u7b2c14\u7cfb/\u5c0f\u73ed\u533a\u753b.fgb"}}</t>
  </si>
  <si>
    <t>{"PARAMETERS": {"2": "'E:/G\u7a7a\u9593\u60c5\u5831\u30bb\u30f3\u30bf\u30fc/13\u6771\u4eac\u90fd/49\u4f0a\u8c46\u8af8\u5cf6\u68ee\u6797\u8a08\u753b\u533a/\u7b2c14\u7cfb/\u6797\u9053.shp'", "crsjgd2000": "QgsCoordinateReferenceSystem('EPSG:2456')"}, "OUTPUTS": {"": "E:/G\u7a7a\u9593\u60c5\u5831\u30bb\u30f3\u30bf\u30fc/13\u6771\u4eac\u90fd/49\u4f0a\u8c46\u8af8\u5cf6\u68ee\u6797\u8a08\u753b\u533aTKY2JGD/\u7b2c14\u7cfb/\u6797\u9053.fgb"}}</t>
  </si>
  <si>
    <t>{"PARAMETERS": {"2": "'E:/G\u7a7a\u9593\u60c5\u5831\u30bb\u30f3\u30bf\u30fc/13\u6771\u4eac\u90fd/49\u4f0a\u8c46\u8af8\u5cf6\u68ee\u6797\u8a08\u753b\u533a/\u7b2c14\u7cfb/\u4f5c\u696d\u9053.shp'", "crsjgd2000": "QgsCoordinateReferenceSystem('EPSG:2456')"}, "OUTPUTS": {"": "E:/G\u7a7a\u9593\u60c5\u5831\u30bb\u30f3\u30bf\u30fc/13\u6771\u4eac\u90fd/49\u4f0a\u8c46\u8af8\u5cf6\u68ee\u6797\u8a08\u753b\u533aTKY2JGD/\u7b2c14\u7cfb/\u4f5c\u696d\u9053.fgb"}}</t>
  </si>
  <si>
    <t>{"PARAMETERS": {"2": "'E:/G\u7a7a\u9593\u60c5\u5831\u30bb\u30f3\u30bf\u30fc/13\u6771\u4eac\u90fd/49\u4f0a\u8c46\u8af8\u5cf6\u68ee\u6797\u8a08\u753b\u533a/\u7b2c14\u7cfb/\u7b49\u9ad8\u7dda10m\u9593\u9694.shp'", "crsjgd2000": "QgsCoordinateReferenceSystem('EPSG:2456')"}, "OUTPUTS": {"": "E:/G\u7a7a\u9593\u60c5\u5831\u30bb\u30f3\u30bf\u30fc/13\u6771\u4eac\u90fd/49\u4f0a\u8c46\u8af8\u5cf6\u68ee\u6797\u8a08\u753b\u533aTKY2JGD/\u7b2c14\u7cfb/\u7b49\u9ad8\u7dda10m\u9593\u9694.fgb"}}</t>
  </si>
  <si>
    <t>{"PARAMETERS": {"2": "'E:/G\u7a7a\u9593\u60c5\u5831\u30bb\u30f3\u30bf\u30fc/13\u6771\u4eac\u90fd/49\u4f0a\u8c46\u8af8\u5cf6\u68ee\u6797\u8a08\u753b\u533a/\u7b2c19\u7cfb/\u5883\u754c.shp'", "crsjgd2000": "QgsCoordinateReferenceSystem('EPSG:2461')"}, "OUTPUTS": {"": "E:/G\u7a7a\u9593\u60c5\u5831\u30bb\u30f3\u30bf\u30fc/13\u6771\u4eac\u90fd/49\u4f0a\u8c46\u8af8\u5cf6\u68ee\u6797\u8a08\u753b\u533aTKY2JGD/\u7b2c19\u7cfb/\u5883\u754c.fgb"}}</t>
  </si>
  <si>
    <t>{"PARAMETERS": {"2": "'E:/G\u7a7a\u9593\u60c5\u5831\u30bb\u30f3\u30bf\u30fc/13\u6771\u4eac\u90fd/49\u4f0a\u8c46\u8af8\u5cf6\u68ee\u6797\u8a08\u753b\u533a/\u7b2c19\u7cfb/\u6797\u73ed\u754c.shp'", "crsjgd2000": "QgsCoordinateReferenceSystem('EPSG:2461')"}, "OUTPUTS": {"": "E:/G\u7a7a\u9593\u60c5\u5831\u30bb\u30f3\u30bf\u30fc/13\u6771\u4eac\u90fd/49\u4f0a\u8c46\u8af8\u5cf6\u68ee\u6797\u8a08\u753b\u533aTKY2JGD/\u7b2c19\u7cfb/\u6797\u73ed\u754c.fgb"}}</t>
  </si>
  <si>
    <t>{"PARAMETERS": {"2": "'E:/G\u7a7a\u9593\u60c5\u5831\u30bb\u30f3\u30bf\u30fc/13\u6771\u4eac\u90fd/49\u4f0a\u8c46\u8af8\u5cf6\u68ee\u6797\u8a08\u753b\u533a/\u7b2c19\u7cfb/\u6797\u73ed\u533a\u753b.shp'", "crsjgd2000": "QgsCoordinateReferenceSystem('EPSG:2461')"}, "OUTPUTS": {"": "E:/G\u7a7a\u9593\u60c5\u5831\u30bb\u30f3\u30bf\u30fc/13\u6771\u4eac\u90fd/49\u4f0a\u8c46\u8af8\u5cf6\u68ee\u6797\u8a08\u753b\u533aTKY2JGD/\u7b2c19\u7cfb/\u6797\u73ed\u533a\u753b.fgb"}}</t>
  </si>
  <si>
    <t>{"PARAMETERS": {"2": "'E:/G\u7a7a\u9593\u60c5\u5831\u30bb\u30f3\u30bf\u30fc/13\u6771\u4eac\u90fd/49\u4f0a\u8c46\u8af8\u5cf6\u68ee\u6797\u8a08\u753b\u533a/\u7b2c19\u7cfb/\u5c0f\u73ed\u754c.shp'", "crsjgd2000": "QgsCoordinateReferenceSystem('EPSG:2461')"}, "OUTPUTS": {"": "E:/G\u7a7a\u9593\u60c5\u5831\u30bb\u30f3\u30bf\u30fc/13\u6771\u4eac\u90fd/49\u4f0a\u8c46\u8af8\u5cf6\u68ee\u6797\u8a08\u753b\u533aTKY2JGD/\u7b2c19\u7cfb/\u5c0f\u73ed\u754c.fgb"}}</t>
  </si>
  <si>
    <t>{"PARAMETERS": {"2": "'E:/G\u7a7a\u9593\u60c5\u5831\u30bb\u30f3\u30bf\u30fc/13\u6771\u4eac\u90fd/49\u4f0a\u8c46\u8af8\u5cf6\u68ee\u6797\u8a08\u753b\u533a/\u7b2c19\u7cfb/\u5c0f\u73ed\u533a\u753b.shp'", "crsjgd2000": "QgsCoordinateReferenceSystem('EPSG:2461')"}, "OUTPUTS": {"": "E:/G\u7a7a\u9593\u60c5\u5831\u30bb\u30f3\u30bf\u30fc/13\u6771\u4eac\u90fd/49\u4f0a\u8c46\u8af8\u5cf6\u68ee\u6797\u8a08\u753b\u533aTKY2JGD/\u7b2c19\u7cfb/\u5c0f\u73ed\u533a\u753b.fgb"}}</t>
  </si>
  <si>
    <t>{"PARAMETERS": {"2": "'E:/G\u7a7a\u9593\u60c5\u5831\u30bb\u30f3\u30bf\u30fc/13\u6771\u4eac\u90fd/49\u4f0a\u8c46\u8af8\u5cf6\u68ee\u6797\u8a08\u753b\u533a/\u7b2c19\u7cfb/\u6797\u9053.shp'", "crsjgd2000": "QgsCoordinateReferenceSystem('EPSG:2461')"}, "OUTPUTS": {"": "E:/G\u7a7a\u9593\u60c5\u5831\u30bb\u30f3\u30bf\u30fc/13\u6771\u4eac\u90fd/49\u4f0a\u8c46\u8af8\u5cf6\u68ee\u6797\u8a08\u753b\u533aTKY2JGD/\u7b2c19\u7cfb/\u6797\u9053.fgb"}}</t>
  </si>
  <si>
    <t>{"PARAMETERS": {"2": "'E:/G\u7a7a\u9593\u60c5\u5831\u30bb\u30f3\u30bf\u30fc/13\u6771\u4eac\u90fd/49\u4f0a\u8c46\u8af8\u5cf6\u68ee\u6797\u8a08\u753b\u533a/\u7b2c19\u7cfb/\u4f5c\u696d\u9053.shp'", "crsjgd2000": "QgsCoordinateReferenceSystem('EPSG:2461')"}, "OUTPUTS": {"": "E:/G\u7a7a\u9593\u60c5\u5831\u30bb\u30f3\u30bf\u30fc/13\u6771\u4eac\u90fd/49\u4f0a\u8c46\u8af8\u5cf6\u68ee\u6797\u8a08\u753b\u533aTKY2JGD/\u7b2c19\u7cfb/\u4f5c\u696d\u9053.fgb"}}</t>
  </si>
  <si>
    <t>{"PARAMETERS": {"2": "'E:/G\u7a7a\u9593\u60c5\u5831\u30bb\u30f3\u30bf\u30fc/13\u6771\u4eac\u90fd/49\u4f0a\u8c46\u8af8\u5cf6\u68ee\u6797\u8a08\u753b\u533a/\u7b2c19\u7cfb/\u7b49\u9ad8\u7dda10m\u9593\u9694.shp'", "crsjgd2000": "QgsCoordinateReferenceSystem('EPSG:2461')"}, "OUTPUTS": {"": "E:/G\u7a7a\u9593\u60c5\u5831\u30bb\u30f3\u30bf\u30fc/13\u6771\u4eac\u90fd/49\u4f0a\u8c46\u8af8\u5cf6\u68ee\u6797\u8a08\u753b\u533aTKY2JGD/\u7b2c19\u7cfb/\u7b49\u9ad8\u7dda10m\u9593\u9694.fgb"}}</t>
  </si>
  <si>
    <t>{"PARAMETERS": {"2": "'E:/G\u7a7a\u9593\u60c5\u5831\u30bb\u30f3\u30bf\u30fc/13\u6771\u4eac\u90fd/49\u4f0a\u8c46\u8af8\u5cf6\u68ee\u6797\u8a08\u753b\u533a/\u7b2c9\u7cfb/\u5883\u754c.shp'", "crsjgd2000": "QgsCoordinateReferenceSystem('EPSG:2451')"}, "OUTPUTS": {"": "E:/G\u7a7a\u9593\u60c5\u5831\u30bb\u30f3\u30bf\u30fc/13\u6771\u4eac\u90fd/49\u4f0a\u8c46\u8af8\u5cf6\u68ee\u6797\u8a08\u753b\u533aTKY2JGD/\u7b2c9\u7cfb/\u5883\u754c.fgb"}}</t>
  </si>
  <si>
    <t>{"PARAMETERS": {"2": "'E:/G\u7a7a\u9593\u60c5\u5831\u30bb\u30f3\u30bf\u30fc/13\u6771\u4eac\u90fd/49\u4f0a\u8c46\u8af8\u5cf6\u68ee\u6797\u8a08\u753b\u533a/\u7b2c9\u7cfb/\u6797\u73ed\u754c.shp'", "crsjgd2000": "QgsCoordinateReferenceSystem('EPSG:2451')"}, "OUTPUTS": {"": "E:/G\u7a7a\u9593\u60c5\u5831\u30bb\u30f3\u30bf\u30fc/13\u6771\u4eac\u90fd/49\u4f0a\u8c46\u8af8\u5cf6\u68ee\u6797\u8a08\u753b\u533aTKY2JGD/\u7b2c9\u7cfb/\u6797\u73ed\u754c.fgb"}}</t>
  </si>
  <si>
    <t>{"PARAMETERS": {"2": "'E:/G\u7a7a\u9593\u60c5\u5831\u30bb\u30f3\u30bf\u30fc/13\u6771\u4eac\u90fd/49\u4f0a\u8c46\u8af8\u5cf6\u68ee\u6797\u8a08\u753b\u533a/\u7b2c9\u7cfb/\u6797\u73ed\u533a\u753b.shp'", "crsjgd2000": "QgsCoordinateReferenceSystem('EPSG:2451')"}, "OUTPUTS": {"": "E:/G\u7a7a\u9593\u60c5\u5831\u30bb\u30f3\u30bf\u30fc/13\u6771\u4eac\u90fd/49\u4f0a\u8c46\u8af8\u5cf6\u68ee\u6797\u8a08\u753b\u533aTKY2JGD/\u7b2c9\u7cfb/\u6797\u73ed\u533a\u753b.fgb"}}</t>
  </si>
  <si>
    <t>{"PARAMETERS": {"2": "'E:/G\u7a7a\u9593\u60c5\u5831\u30bb\u30f3\u30bf\u30fc/13\u6771\u4eac\u90fd/49\u4f0a\u8c46\u8af8\u5cf6\u68ee\u6797\u8a08\u753b\u533a/\u7b2c9\u7cfb/\u5c0f\u73ed\u754c.shp'", "crsjgd2000": "QgsCoordinateReferenceSystem('EPSG:2451')"}, "OUTPUTS": {"": "E:/G\u7a7a\u9593\u60c5\u5831\u30bb\u30f3\u30bf\u30fc/13\u6771\u4eac\u90fd/49\u4f0a\u8c46\u8af8\u5cf6\u68ee\u6797\u8a08\u753b\u533aTKY2JGD/\u7b2c9\u7cfb/\u5c0f\u73ed\u754c.fgb"}}</t>
  </si>
  <si>
    <t>{"PARAMETERS": {"2": "'E:/G\u7a7a\u9593\u60c5\u5831\u30bb\u30f3\u30bf\u30fc/13\u6771\u4eac\u90fd/49\u4f0a\u8c46\u8af8\u5cf6\u68ee\u6797\u8a08\u753b\u533a/\u7b2c9\u7cfb/\u5c0f\u73ed\u533a\u753b.shp'", "crsjgd2000": "QgsCoordinateReferenceSystem('EPSG:2451')"}, "OUTPUTS": {"": "E:/G\u7a7a\u9593\u60c5\u5831\u30bb\u30f3\u30bf\u30fc/13\u6771\u4eac\u90fd/49\u4f0a\u8c46\u8af8\u5cf6\u68ee\u6797\u8a08\u753b\u533aTKY2JGD/\u7b2c9\u7cfb/\u5c0f\u73ed\u533a\u753b.fgb"}}</t>
  </si>
  <si>
    <t>{"PARAMETERS": {"2": "'E:/G\u7a7a\u9593\u60c5\u5831\u30bb\u30f3\u30bf\u30fc/13\u6771\u4eac\u90fd/49\u4f0a\u8c46\u8af8\u5cf6\u68ee\u6797\u8a08\u753b\u533a/\u7b2c9\u7cfb/\u6797\u9053.shp'", "crsjgd2000": "QgsCoordinateReferenceSystem('EPSG:2451')"}, "OUTPUTS": {"": "E:/G\u7a7a\u9593\u60c5\u5831\u30bb\u30f3\u30bf\u30fc/13\u6771\u4eac\u90fd/49\u4f0a\u8c46\u8af8\u5cf6\u68ee\u6797\u8a08\u753b\u533aTKY2JGD/\u7b2c9\u7cfb/\u6797\u9053.fgb"}}</t>
  </si>
  <si>
    <t>{"PARAMETERS": {"2": "'E:/G\u7a7a\u9593\u60c5\u5831\u30bb\u30f3\u30bf\u30fc/13\u6771\u4eac\u90fd/49\u4f0a\u8c46\u8af8\u5cf6\u68ee\u6797\u8a08\u753b\u533a/\u7b2c9\u7cfb/\u4f5c\u696d\u9053.shp'", "crsjgd2000": "QgsCoordinateReferenceSystem('EPSG:2451')"}, "OUTPUTS": {"": "E:/G\u7a7a\u9593\u60c5\u5831\u30bb\u30f3\u30bf\u30fc/13\u6771\u4eac\u90fd/49\u4f0a\u8c46\u8af8\u5cf6\u68ee\u6797\u8a08\u753b\u533aTKY2JGD/\u7b2c9\u7cfb/\u4f5c\u696d\u9053.fgb"}}</t>
  </si>
  <si>
    <t>{"PARAMETERS": {"2": "'E:/G\u7a7a\u9593\u60c5\u5831\u30bb\u30f3\u30bf\u30fc/13\u6771\u4eac\u90fd/49\u4f0a\u8c46\u8af8\u5cf6\u68ee\u6797\u8a08\u753b\u533a/\u7b2c9\u7cfb/\u7b49\u9ad8\u7dda10m\u9593\u9694.shp'", "crsjgd2000": "QgsCoordinateReferenceSystem('EPSG:2451')"}, "OUTPUTS": {"": "E:/G\u7a7a\u9593\u60c5\u5831\u30bb\u30f3\u30bf\u30fc/13\u6771\u4eac\u90fd/49\u4f0a\u8c46\u8af8\u5cf6\u68ee\u6797\u8a08\u753b\u533aTKY2JGD/\u7b2c9\u7cfb/\u7b49\u9ad8\u7dda10m\u9593\u9694.fgb"}}</t>
  </si>
  <si>
    <t>{"PARAMETERS": {"2": "'E:/G\u7a7a\u9593\u60c5\u5831\u30bb\u30f3\u30bf\u30fc/14\u795e\u5948\u5ddd\u770c/50\u795e\u5948\u5ddd\u68ee\u6797\u8a08\u753b\u533a/\u7b2c9\u7cfb/\u5883\u754c.shp'", "crsjgd2000": "QgsCoordinateReferenceSystem('EPSG:2451')"}, "OUTPUTS": {"": "E:/G\u7a7a\u9593\u60c5\u5831\u30bb\u30f3\u30bf\u30fc/14\u795e\u5948\u5ddd\u770c/50\u795e\u5948\u5ddd\u68ee\u6797\u8a08\u753b\u533aTKY2JGD/\u7b2c9\u7cfb/\u5883\u754c.fgb"}}</t>
  </si>
  <si>
    <t>{"PARAMETERS": {"2": "'E:/G\u7a7a\u9593\u60c5\u5831\u30bb\u30f3\u30bf\u30fc/14\u795e\u5948\u5ddd\u770c/50\u795e\u5948\u5ddd\u68ee\u6797\u8a08\u753b\u533a/\u7b2c9\u7cfb/\u6797\u73ed\u754c.shp'", "crsjgd2000": "QgsCoordinateReferenceSystem('EPSG:2451')"}, "OUTPUTS": {"": "E:/G\u7a7a\u9593\u60c5\u5831\u30bb\u30f3\u30bf\u30fc/14\u795e\u5948\u5ddd\u770c/50\u795e\u5948\u5ddd\u68ee\u6797\u8a08\u753b\u533aTKY2JGD/\u7b2c9\u7cfb/\u6797\u73ed\u754c.fgb"}}</t>
  </si>
  <si>
    <t>{"PARAMETERS": {"2": "'E:/G\u7a7a\u9593\u60c5\u5831\u30bb\u30f3\u30bf\u30fc/14\u795e\u5948\u5ddd\u770c/50\u795e\u5948\u5ddd\u68ee\u6797\u8a08\u753b\u533a/\u7b2c9\u7cfb/\u6797\u73ed\u533a\u753b.shp'", "crsjgd2000": "QgsCoordinateReferenceSystem('EPSG:2451')"}, "OUTPUTS": {"": "E:/G\u7a7a\u9593\u60c5\u5831\u30bb\u30f3\u30bf\u30fc/14\u795e\u5948\u5ddd\u770c/50\u795e\u5948\u5ddd\u68ee\u6797\u8a08\u753b\u533aTKY2JGD/\u7b2c9\u7cfb/\u6797\u73ed\u533a\u753b.fgb"}}</t>
  </si>
  <si>
    <t>{"PARAMETERS": {"2": "'E:/G\u7a7a\u9593\u60c5\u5831\u30bb\u30f3\u30bf\u30fc/14\u795e\u5948\u5ddd\u770c/50\u795e\u5948\u5ddd\u68ee\u6797\u8a08\u753b\u533a/\u7b2c9\u7cfb/\u5c0f\u73ed\u754c.shp'", "crsjgd2000": "QgsCoordinateReferenceSystem('EPSG:2451')"}, "OUTPUTS": {"": "E:/G\u7a7a\u9593\u60c5\u5831\u30bb\u30f3\u30bf\u30fc/14\u795e\u5948\u5ddd\u770c/50\u795e\u5948\u5ddd\u68ee\u6797\u8a08\u753b\u533aTKY2JGD/\u7b2c9\u7cfb/\u5c0f\u73ed\u754c.fgb"}}</t>
  </si>
  <si>
    <t>{"PARAMETERS": {"2": "'E:/G\u7a7a\u9593\u60c5\u5831\u30bb\u30f3\u30bf\u30fc/14\u795e\u5948\u5ddd\u770c/50\u795e\u5948\u5ddd\u68ee\u6797\u8a08\u753b\u533a/\u7b2c9\u7cfb/\u5c0f\u73ed\u533a\u753b.shp'", "crsjgd2000": "QgsCoordinateReferenceSystem('EPSG:2451')"}, "OUTPUTS": {"": "E:/G\u7a7a\u9593\u60c5\u5831\u30bb\u30f3\u30bf\u30fc/14\u795e\u5948\u5ddd\u770c/50\u795e\u5948\u5ddd\u68ee\u6797\u8a08\u753b\u533aTKY2JGD/\u7b2c9\u7cfb/\u5c0f\u73ed\u533a\u753b.fgb"}}</t>
  </si>
  <si>
    <t>{"PARAMETERS": {"2": "'E:/G\u7a7a\u9593\u60c5\u5831\u30bb\u30f3\u30bf\u30fc/14\u795e\u5948\u5ddd\u770c/50\u795e\u5948\u5ddd\u68ee\u6797\u8a08\u753b\u533a/\u7b2c9\u7cfb/\u6797\u9053.shp'", "crsjgd2000": "QgsCoordinateReferenceSystem('EPSG:2451')"}, "OUTPUTS": {"": "E:/G\u7a7a\u9593\u60c5\u5831\u30bb\u30f3\u30bf\u30fc/14\u795e\u5948\u5ddd\u770c/50\u795e\u5948\u5ddd\u68ee\u6797\u8a08\u753b\u533aTKY2JGD/\u7b2c9\u7cfb/\u6797\u9053.fgb"}}</t>
  </si>
  <si>
    <t>{"PARAMETERS": {"2": "'E:/G\u7a7a\u9593\u60c5\u5831\u30bb\u30f3\u30bf\u30fc/14\u795e\u5948\u5ddd\u770c/50\u795e\u5948\u5ddd\u68ee\u6797\u8a08\u753b\u533a/\u7b2c9\u7cfb/\u4f5c\u696d\u9053.shp'", "crsjgd2000": "QgsCoordinateReferenceSystem('EPSG:2451')"}, "OUTPUTS": {"": "E:/G\u7a7a\u9593\u60c5\u5831\u30bb\u30f3\u30bf\u30fc/14\u795e\u5948\u5ddd\u770c/50\u795e\u5948\u5ddd\u68ee\u6797\u8a08\u753b\u533aTKY2JGD/\u7b2c9\u7cfb/\u4f5c\u696d\u9053.fgb"}}</t>
  </si>
  <si>
    <t>{"PARAMETERS": {"2": "'E:/G\u7a7a\u9593\u60c5\u5831\u30bb\u30f3\u30bf\u30fc/14\u795e\u5948\u5ddd\u770c/50\u795e\u5948\u5ddd\u68ee\u6797\u8a08\u753b\u533a/\u7b2c9\u7cfb/\u7b49\u9ad8\u7dda10m\u9593\u9694.shp'", "crsjgd2000": "QgsCoordinateReferenceSystem('EPSG:2451')"}, "OUTPUTS": {"": "E:/G\u7a7a\u9593\u60c5\u5831\u30bb\u30f3\u30bf\u30fc/14\u795e\u5948\u5ddd\u770c/50\u795e\u5948\u5ddd\u68ee\u6797\u8a08\u753b\u533aTKY2JGD/\u7b2c9\u7cfb/\u7b49\u9ad8\u7dda10m\u9593\u9694.fgb"}}</t>
  </si>
  <si>
    <t>{"PARAMETERS": {"2": "'E:/G\u7a7a\u9593\u60c5\u5831\u30bb\u30f3\u30bf\u30fc/15\u65b0\u6f5f\u770c/51\u4e0b\u8d8a\u68ee\u6797\u8a08\u753b\u533a/\u7b2c8\u7cfb/\u5883\u754c.shp'", "crsjgd2000": "QgsCoordinateReferenceSystem('EPSG:2450')"}, "OUTPUTS": {"": "E:/G\u7a7a\u9593\u60c5\u5831\u30bb\u30f3\u30bf\u30fc/15\u65b0\u6f5f\u770c/51\u4e0b\u8d8a\u68ee\u6797\u8a08\u753b\u533aTKY2JGD/\u7b2c8\u7cfb/\u5883\u754c.fgb"}}</t>
  </si>
  <si>
    <t>{"PARAMETERS": {"2": "'E:/G\u7a7a\u9593\u60c5\u5831\u30bb\u30f3\u30bf\u30fc/15\u65b0\u6f5f\u770c/51\u4e0b\u8d8a\u68ee\u6797\u8a08\u753b\u533a/\u7b2c8\u7cfb/\u6797\u73ed\u754c.shp'", "crsjgd2000": "QgsCoordinateReferenceSystem('EPSG:2450')"}, "OUTPUTS": {"": "E:/G\u7a7a\u9593\u60c5\u5831\u30bb\u30f3\u30bf\u30fc/15\u65b0\u6f5f\u770c/51\u4e0b\u8d8a\u68ee\u6797\u8a08\u753b\u533aTKY2JGD/\u7b2c8\u7cfb/\u6797\u73ed\u754c.fgb"}}</t>
  </si>
  <si>
    <t>{"PARAMETERS": {"2": "'E:/G\u7a7a\u9593\u60c5\u5831\u30bb\u30f3\u30bf\u30fc/15\u65b0\u6f5f\u770c/51\u4e0b\u8d8a\u68ee\u6797\u8a08\u753b\u533a/\u7b2c8\u7cfb/\u6797\u73ed\u533a\u753b.shp'", "crsjgd2000": "QgsCoordinateReferenceSystem('EPSG:2450')"}, "OUTPUTS": {"": "E:/G\u7a7a\u9593\u60c5\u5831\u30bb\u30f3\u30bf\u30fc/15\u65b0\u6f5f\u770c/51\u4e0b\u8d8a\u68ee\u6797\u8a08\u753b\u533aTKY2JGD/\u7b2c8\u7cfb/\u6797\u73ed\u533a\u753b.fgb"}}</t>
  </si>
  <si>
    <t>{"PARAMETERS": {"2": "'E:/G\u7a7a\u9593\u60c5\u5831\u30bb\u30f3\u30bf\u30fc/15\u65b0\u6f5f\u770c/51\u4e0b\u8d8a\u68ee\u6797\u8a08\u753b\u533a/\u7b2c8\u7cfb/\u5c0f\u73ed\u754c.shp'", "crsjgd2000": "QgsCoordinateReferenceSystem('EPSG:2450')"}, "OUTPUTS": {"": "E:/G\u7a7a\u9593\u60c5\u5831\u30bb\u30f3\u30bf\u30fc/15\u65b0\u6f5f\u770c/51\u4e0b\u8d8a\u68ee\u6797\u8a08\u753b\u533aTKY2JGD/\u7b2c8\u7cfb/\u5c0f\u73ed\u754c.fgb"}}</t>
  </si>
  <si>
    <t>{"PARAMETERS": {"2": "'E:/G\u7a7a\u9593\u60c5\u5831\u30bb\u30f3\u30bf\u30fc/15\u65b0\u6f5f\u770c/51\u4e0b\u8d8a\u68ee\u6797\u8a08\u753b\u533a/\u7b2c8\u7cfb/\u5c0f\u73ed\u533a\u753b.shp'", "crsjgd2000": "QgsCoordinateReferenceSystem('EPSG:2450')"}, "OUTPUTS": {"": "E:/G\u7a7a\u9593\u60c5\u5831\u30bb\u30f3\u30bf\u30fc/15\u65b0\u6f5f\u770c/51\u4e0b\u8d8a\u68ee\u6797\u8a08\u753b\u533aTKY2JGD/\u7b2c8\u7cfb/\u5c0f\u73ed\u533a\u753b.fgb"}}</t>
  </si>
  <si>
    <t>{"PARAMETERS": {"2": "'E:/G\u7a7a\u9593\u60c5\u5831\u30bb\u30f3\u30bf\u30fc/15\u65b0\u6f5f\u770c/51\u4e0b\u8d8a\u68ee\u6797\u8a08\u753b\u533a/\u7b2c8\u7cfb/\u6797\u9053.shp'", "crsjgd2000": "QgsCoordinateReferenceSystem('EPSG:2450')"}, "OUTPUTS": {"": "E:/G\u7a7a\u9593\u60c5\u5831\u30bb\u30f3\u30bf\u30fc/15\u65b0\u6f5f\u770c/51\u4e0b\u8d8a\u68ee\u6797\u8a08\u753b\u533aTKY2JGD/\u7b2c8\u7cfb/\u6797\u9053.fgb"}}</t>
  </si>
  <si>
    <t>{"PARAMETERS": {"2": "'E:/G\u7a7a\u9593\u60c5\u5831\u30bb\u30f3\u30bf\u30fc/15\u65b0\u6f5f\u770c/51\u4e0b\u8d8a\u68ee\u6797\u8a08\u753b\u533a/\u7b2c8\u7cfb/\u4f5c\u696d\u9053.shp'", "crsjgd2000": "QgsCoordinateReferenceSystem('EPSG:2450')"}, "OUTPUTS": {"": "E:/G\u7a7a\u9593\u60c5\u5831\u30bb\u30f3\u30bf\u30fc/15\u65b0\u6f5f\u770c/51\u4e0b\u8d8a\u68ee\u6797\u8a08\u753b\u533aTKY2JGD/\u7b2c8\u7cfb/\u4f5c\u696d\u9053.fgb"}}</t>
  </si>
  <si>
    <t>{"PARAMETERS": {"2": "'E:/G\u7a7a\u9593\u60c5\u5831\u30bb\u30f3\u30bf\u30fc/15\u65b0\u6f5f\u770c/51\u4e0b\u8d8a\u68ee\u6797\u8a08\u753b\u533a/\u7b2c8\u7cfb/\u7b49\u9ad8\u7dda10m\u9593\u9694.shp'", "crsjgd2000": "QgsCoordinateReferenceSystem('EPSG:2450')"}, "OUTPUTS": {"": "E:/G\u7a7a\u9593\u60c5\u5831\u30bb\u30f3\u30bf\u30fc/15\u65b0\u6f5f\u770c/51\u4e0b\u8d8a\u68ee\u6797\u8a08\u753b\u533aTKY2JGD/\u7b2c8\u7cfb/\u7b49\u9ad8\u7dda10m\u9593\u9694.fgb"}}</t>
  </si>
  <si>
    <t>{"PARAMETERS": {"2": "'E:/G\u7a7a\u9593\u60c5\u5831\u30bb\u30f3\u30bf\u30fc/15\u65b0\u6f5f\u770c/52\u4e2d\u8d8a\u68ee\u6797\u8a08\u753b\u533a/\u7b2c8\u7cfb/\u5883\u754c.shp'", "crsjgd2000": "QgsCoordinateReferenceSystem('EPSG:2450')"}, "OUTPUTS": {"": "E:/G\u7a7a\u9593\u60c5\u5831\u30bb\u30f3\u30bf\u30fc/15\u65b0\u6f5f\u770c/52\u4e2d\u8d8a\u68ee\u6797\u8a08\u753b\u533aTKY2JGD/\u7b2c8\u7cfb/\u5883\u754c.fgb"}}</t>
  </si>
  <si>
    <t>{"PARAMETERS": {"2": "'E:/G\u7a7a\u9593\u60c5\u5831\u30bb\u30f3\u30bf\u30fc/15\u65b0\u6f5f\u770c/52\u4e2d\u8d8a\u68ee\u6797\u8a08\u753b\u533a/\u7b2c8\u7cfb/\u6797\u73ed\u754c.shp'", "crsjgd2000": "QgsCoordinateReferenceSystem('EPSG:2450')"}, "OUTPUTS": {"": "E:/G\u7a7a\u9593\u60c5\u5831\u30bb\u30f3\u30bf\u30fc/15\u65b0\u6f5f\u770c/52\u4e2d\u8d8a\u68ee\u6797\u8a08\u753b\u533aTKY2JGD/\u7b2c8\u7cfb/\u6797\u73ed\u754c.fgb"}}</t>
  </si>
  <si>
    <t>{"PARAMETERS": {"2": "'E:/G\u7a7a\u9593\u60c5\u5831\u30bb\u30f3\u30bf\u30fc/15\u65b0\u6f5f\u770c/52\u4e2d\u8d8a\u68ee\u6797\u8a08\u753b\u533a/\u7b2c8\u7cfb/\u6797\u73ed\u533a\u753b.shp'", "crsjgd2000": "QgsCoordinateReferenceSystem('EPSG:2450')"}, "OUTPUTS": {"": "E:/G\u7a7a\u9593\u60c5\u5831\u30bb\u30f3\u30bf\u30fc/15\u65b0\u6f5f\u770c/52\u4e2d\u8d8a\u68ee\u6797\u8a08\u753b\u533aTKY2JGD/\u7b2c8\u7cfb/\u6797\u73ed\u533a\u753b.fgb"}}</t>
  </si>
  <si>
    <t>{"PARAMETERS": {"2": "'E:/G\u7a7a\u9593\u60c5\u5831\u30bb\u30f3\u30bf\u30fc/15\u65b0\u6f5f\u770c/52\u4e2d\u8d8a\u68ee\u6797\u8a08\u753b\u533a/\u7b2c8\u7cfb/\u5c0f\u73ed\u754c.shp'", "crsjgd2000": "QgsCoordinateReferenceSystem('EPSG:2450')"}, "OUTPUTS": {"": "E:/G\u7a7a\u9593\u60c5\u5831\u30bb\u30f3\u30bf\u30fc/15\u65b0\u6f5f\u770c/52\u4e2d\u8d8a\u68ee\u6797\u8a08\u753b\u533aTKY2JGD/\u7b2c8\u7cfb/\u5c0f\u73ed\u754c.fgb"}}</t>
  </si>
  <si>
    <t>{"PARAMETERS": {"2": "'E:/G\u7a7a\u9593\u60c5\u5831\u30bb\u30f3\u30bf\u30fc/15\u65b0\u6f5f\u770c/52\u4e2d\u8d8a\u68ee\u6797\u8a08\u753b\u533a/\u7b2c8\u7cfb/\u5c0f\u73ed\u533a\u753b.shp'", "crsjgd2000": "QgsCoordinateReferenceSystem('EPSG:2450')"}, "OUTPUTS": {"": "E:/G\u7a7a\u9593\u60c5\u5831\u30bb\u30f3\u30bf\u30fc/15\u65b0\u6f5f\u770c/52\u4e2d\u8d8a\u68ee\u6797\u8a08\u753b\u533aTKY2JGD/\u7b2c8\u7cfb/\u5c0f\u73ed\u533a\u753b.fgb"}}</t>
  </si>
  <si>
    <t>{"PARAMETERS": {"2": "'E:/G\u7a7a\u9593\u60c5\u5831\u30bb\u30f3\u30bf\u30fc/15\u65b0\u6f5f\u770c/52\u4e2d\u8d8a\u68ee\u6797\u8a08\u753b\u533a/\u7b2c8\u7cfb/\u6797\u9053.shp'", "crsjgd2000": "QgsCoordinateReferenceSystem('EPSG:2450')"}, "OUTPUTS": {"": "E:/G\u7a7a\u9593\u60c5\u5831\u30bb\u30f3\u30bf\u30fc/15\u65b0\u6f5f\u770c/52\u4e2d\u8d8a\u68ee\u6797\u8a08\u753b\u533aTKY2JGD/\u7b2c8\u7cfb/\u6797\u9053.fgb"}}</t>
  </si>
  <si>
    <t>{"PARAMETERS": {"2": "'E:/G\u7a7a\u9593\u60c5\u5831\u30bb\u30f3\u30bf\u30fc/15\u65b0\u6f5f\u770c/52\u4e2d\u8d8a\u68ee\u6797\u8a08\u753b\u533a/\u7b2c8\u7cfb/\u4f5c\u696d\u9053.shp'", "crsjgd2000": "QgsCoordinateReferenceSystem('EPSG:2450')"}, "OUTPUTS": {"": "E:/G\u7a7a\u9593\u60c5\u5831\u30bb\u30f3\u30bf\u30fc/15\u65b0\u6f5f\u770c/52\u4e2d\u8d8a\u68ee\u6797\u8a08\u753b\u533aTKY2JGD/\u7b2c8\u7cfb/\u4f5c\u696d\u9053.fgb"}}</t>
  </si>
  <si>
    <t>{"PARAMETERS": {"2": "'E:/G\u7a7a\u9593\u60c5\u5831\u30bb\u30f3\u30bf\u30fc/15\u65b0\u6f5f\u770c/52\u4e2d\u8d8a\u68ee\u6797\u8a08\u753b\u533a/\u7b2c8\u7cfb/\u7b49\u9ad8\u7dda10m\u9593\u9694.shp'", "crsjgd2000": "QgsCoordinateReferenceSystem('EPSG:2450')"}, "OUTPUTS": {"": "E:/G\u7a7a\u9593\u60c5\u5831\u30bb\u30f3\u30bf\u30fc/15\u65b0\u6f5f\u770c/52\u4e2d\u8d8a\u68ee\u6797\u8a08\u753b\u533aTKY2JGD/\u7b2c8\u7cfb/\u7b49\u9ad8\u7dda10m\u9593\u9694.fgb"}}</t>
  </si>
  <si>
    <t>{"PARAMETERS": {"2": "'E:/G\u7a7a\u9593\u60c5\u5831\u30bb\u30f3\u30bf\u30fc/15\u65b0\u6f5f\u770c/53\u4e0a\u8d8a\u68ee\u6797\u8a08\u753b\u533a/\u7b2c8\u7cfb/\u5883\u754c.shp'", "crsjgd2000": "QgsCoordinateReferenceSystem('EPSG:2450')"}, "OUTPUTS": {"": "E:/G\u7a7a\u9593\u60c5\u5831\u30bb\u30f3\u30bf\u30fc/15\u65b0\u6f5f\u770c/53\u4e0a\u8d8a\u68ee\u6797\u8a08\u753b\u533aTKY2JGD/\u7b2c8\u7cfb/\u5883\u754c.fgb"}}</t>
  </si>
  <si>
    <t>{"PARAMETERS": {"2": "'E:/G\u7a7a\u9593\u60c5\u5831\u30bb\u30f3\u30bf\u30fc/15\u65b0\u6f5f\u770c/53\u4e0a\u8d8a\u68ee\u6797\u8a08\u753b\u533a/\u7b2c8\u7cfb/\u6797\u73ed\u754c.shp'", "crsjgd2000": "QgsCoordinateReferenceSystem('EPSG:2450')"}, "OUTPUTS": {"": "E:/G\u7a7a\u9593\u60c5\u5831\u30bb\u30f3\u30bf\u30fc/15\u65b0\u6f5f\u770c/53\u4e0a\u8d8a\u68ee\u6797\u8a08\u753b\u533aTKY2JGD/\u7b2c8\u7cfb/\u6797\u73ed\u754c.fgb"}}</t>
  </si>
  <si>
    <t>{"PARAMETERS": {"2": "'E:/G\u7a7a\u9593\u60c5\u5831\u30bb\u30f3\u30bf\u30fc/15\u65b0\u6f5f\u770c/53\u4e0a\u8d8a\u68ee\u6797\u8a08\u753b\u533a/\u7b2c8\u7cfb/\u6797\u73ed\u533a\u753b.shp'", "crsjgd2000": "QgsCoordinateReferenceSystem('EPSG:2450')"}, "OUTPUTS": {"": "E:/G\u7a7a\u9593\u60c5\u5831\u30bb\u30f3\u30bf\u30fc/15\u65b0\u6f5f\u770c/53\u4e0a\u8d8a\u68ee\u6797\u8a08\u753b\u533aTKY2JGD/\u7b2c8\u7cfb/\u6797\u73ed\u533a\u753b.fgb"}}</t>
  </si>
  <si>
    <t>{"PARAMETERS": {"2": "'E:/G\u7a7a\u9593\u60c5\u5831\u30bb\u30f3\u30bf\u30fc/15\u65b0\u6f5f\u770c/53\u4e0a\u8d8a\u68ee\u6797\u8a08\u753b\u533a/\u7b2c8\u7cfb/\u5c0f\u73ed\u754c.shp'", "crsjgd2000": "QgsCoordinateReferenceSystem('EPSG:2450')"}, "OUTPUTS": {"": "E:/G\u7a7a\u9593\u60c5\u5831\u30bb\u30f3\u30bf\u30fc/15\u65b0\u6f5f\u770c/53\u4e0a\u8d8a\u68ee\u6797\u8a08\u753b\u533aTKY2JGD/\u7b2c8\u7cfb/\u5c0f\u73ed\u754c.fgb"}}</t>
  </si>
  <si>
    <t>{"PARAMETERS": {"2": "'E:/G\u7a7a\u9593\u60c5\u5831\u30bb\u30f3\u30bf\u30fc/15\u65b0\u6f5f\u770c/53\u4e0a\u8d8a\u68ee\u6797\u8a08\u753b\u533a/\u7b2c8\u7cfb/\u5c0f\u73ed\u533a\u753b.shp'", "crsjgd2000": "QgsCoordinateReferenceSystem('EPSG:2450')"}, "OUTPUTS": {"": "E:/G\u7a7a\u9593\u60c5\u5831\u30bb\u30f3\u30bf\u30fc/15\u65b0\u6f5f\u770c/53\u4e0a\u8d8a\u68ee\u6797\u8a08\u753b\u533aTKY2JGD/\u7b2c8\u7cfb/\u5c0f\u73ed\u533a\u753b.fgb"}}</t>
  </si>
  <si>
    <t>{"PARAMETERS": {"2": "'E:/G\u7a7a\u9593\u60c5\u5831\u30bb\u30f3\u30bf\u30fc/15\u65b0\u6f5f\u770c/53\u4e0a\u8d8a\u68ee\u6797\u8a08\u753b\u533a/\u7b2c8\u7cfb/\u6797\u9053.shp'", "crsjgd2000": "QgsCoordinateReferenceSystem('EPSG:2450')"}, "OUTPUTS": {"": "E:/G\u7a7a\u9593\u60c5\u5831\u30bb\u30f3\u30bf\u30fc/15\u65b0\u6f5f\u770c/53\u4e0a\u8d8a\u68ee\u6797\u8a08\u753b\u533aTKY2JGD/\u7b2c8\u7cfb/\u6797\u9053.fgb"}}</t>
  </si>
  <si>
    <t>{"PARAMETERS": {"2": "'E:/G\u7a7a\u9593\u60c5\u5831\u30bb\u30f3\u30bf\u30fc/15\u65b0\u6f5f\u770c/53\u4e0a\u8d8a\u68ee\u6797\u8a08\u753b\u533a/\u7b2c8\u7cfb/\u4f5c\u696d\u9053.shp'", "crsjgd2000": "QgsCoordinateReferenceSystem('EPSG:2450')"}, "OUTPUTS": {"": "E:/G\u7a7a\u9593\u60c5\u5831\u30bb\u30f3\u30bf\u30fc/15\u65b0\u6f5f\u770c/53\u4e0a\u8d8a\u68ee\u6797\u8a08\u753b\u533aTKY2JGD/\u7b2c8\u7cfb/\u4f5c\u696d\u9053.fgb"}}</t>
  </si>
  <si>
    <t>{"PARAMETERS": {"2": "'E:/G\u7a7a\u9593\u60c5\u5831\u30bb\u30f3\u30bf\u30fc/15\u65b0\u6f5f\u770c/53\u4e0a\u8d8a\u68ee\u6797\u8a08\u753b\u533a/\u7b2c8\u7cfb/\u7b49\u9ad8\u7dda10m\u9593\u9694.shp'", "crsjgd2000": "QgsCoordinateReferenceSystem('EPSG:2450')"}, "OUTPUTS": {"": "E:/G\u7a7a\u9593\u60c5\u5831\u30bb\u30f3\u30bf\u30fc/15\u65b0\u6f5f\u770c/53\u4e0a\u8d8a\u68ee\u6797\u8a08\u753b\u533aTKY2JGD/\u7b2c8\u7cfb/\u7b49\u9ad8\u7dda10m\u9593\u9694.fgb"}}</t>
  </si>
  <si>
    <t>{"PARAMETERS": {"2": "'E:/G\u7a7a\u9593\u60c5\u5831\u30bb\u30f3\u30bf\u30fc/15\u65b0\u6f5f\u770c/54\u4f50\u6e21\u68ee\u6797\u8a08\u753b\u533a/\u7b2c8\u7cfb/\u5883\u754c.shp'", "crsjgd2000": "QgsCoordinateReferenceSystem('EPSG:2450')"}, "OUTPUTS": {"": "E:/G\u7a7a\u9593\u60c5\u5831\u30bb\u30f3\u30bf\u30fc/15\u65b0\u6f5f\u770c/54\u4f50\u6e21\u68ee\u6797\u8a08\u753b\u533aTKY2JGD/\u7b2c8\u7cfb/\u5883\u754c.fgb"}}</t>
  </si>
  <si>
    <t>{"PARAMETERS": {"2": "'E:/G\u7a7a\u9593\u60c5\u5831\u30bb\u30f3\u30bf\u30fc/15\u65b0\u6f5f\u770c/54\u4f50\u6e21\u68ee\u6797\u8a08\u753b\u533a/\u7b2c8\u7cfb/\u6797\u73ed\u754c.shp'", "crsjgd2000": "QgsCoordinateReferenceSystem('EPSG:2450')"}, "OUTPUTS": {"": "E:/G\u7a7a\u9593\u60c5\u5831\u30bb\u30f3\u30bf\u30fc/15\u65b0\u6f5f\u770c/54\u4f50\u6e21\u68ee\u6797\u8a08\u753b\u533aTKY2JGD/\u7b2c8\u7cfb/\u6797\u73ed\u754c.fgb"}}</t>
  </si>
  <si>
    <t>{"PARAMETERS": {"2": "'E:/G\u7a7a\u9593\u60c5\u5831\u30bb\u30f3\u30bf\u30fc/15\u65b0\u6f5f\u770c/54\u4f50\u6e21\u68ee\u6797\u8a08\u753b\u533a/\u7b2c8\u7cfb/\u6797\u73ed\u533a\u753b.shp'", "crsjgd2000": "QgsCoordinateReferenceSystem('EPSG:2450')"}, "OUTPUTS": {"": "E:/G\u7a7a\u9593\u60c5\u5831\u30bb\u30f3\u30bf\u30fc/15\u65b0\u6f5f\u770c/54\u4f50\u6e21\u68ee\u6797\u8a08\u753b\u533aTKY2JGD/\u7b2c8\u7cfb/\u6797\u73ed\u533a\u753b.fgb"}}</t>
  </si>
  <si>
    <t>{"PARAMETERS": {"2": "'E:/G\u7a7a\u9593\u60c5\u5831\u30bb\u30f3\u30bf\u30fc/15\u65b0\u6f5f\u770c/54\u4f50\u6e21\u68ee\u6797\u8a08\u753b\u533a/\u7b2c8\u7cfb/\u5c0f\u73ed\u754c.shp'", "crsjgd2000": "QgsCoordinateReferenceSystem('EPSG:2450')"}, "OUTPUTS": {"": "E:/G\u7a7a\u9593\u60c5\u5831\u30bb\u30f3\u30bf\u30fc/15\u65b0\u6f5f\u770c/54\u4f50\u6e21\u68ee\u6797\u8a08\u753b\u533aTKY2JGD/\u7b2c8\u7cfb/\u5c0f\u73ed\u754c.fgb"}}</t>
  </si>
  <si>
    <t>{"PARAMETERS": {"2": "'E:/G\u7a7a\u9593\u60c5\u5831\u30bb\u30f3\u30bf\u30fc/15\u65b0\u6f5f\u770c/54\u4f50\u6e21\u68ee\u6797\u8a08\u753b\u533a/\u7b2c8\u7cfb/\u5c0f\u73ed\u533a\u753b.shp'", "crsjgd2000": "QgsCoordinateReferenceSystem('EPSG:2450')"}, "OUTPUTS": {"": "E:/G\u7a7a\u9593\u60c5\u5831\u30bb\u30f3\u30bf\u30fc/15\u65b0\u6f5f\u770c/54\u4f50\u6e21\u68ee\u6797\u8a08\u753b\u533aTKY2JGD/\u7b2c8\u7cfb/\u5c0f\u73ed\u533a\u753b.fgb"}}</t>
  </si>
  <si>
    <t>{"PARAMETERS": {"2": "'E:/G\u7a7a\u9593\u60c5\u5831\u30bb\u30f3\u30bf\u30fc/15\u65b0\u6f5f\u770c/54\u4f50\u6e21\u68ee\u6797\u8a08\u753b\u533a/\u7b2c8\u7cfb/\u6797\u9053.shp'", "crsjgd2000": "QgsCoordinateReferenceSystem('EPSG:2450')"}, "OUTPUTS": {"": "E:/G\u7a7a\u9593\u60c5\u5831\u30bb\u30f3\u30bf\u30fc/15\u65b0\u6f5f\u770c/54\u4f50\u6e21\u68ee\u6797\u8a08\u753b\u533aTKY2JGD/\u7b2c8\u7cfb/\u6797\u9053.fgb"}}</t>
  </si>
  <si>
    <t>{"PARAMETERS": {"2": "'E:/G\u7a7a\u9593\u60c5\u5831\u30bb\u30f3\u30bf\u30fc/15\u65b0\u6f5f\u770c/54\u4f50\u6e21\u68ee\u6797\u8a08\u753b\u533a/\u7b2c8\u7cfb/\u4f5c\u696d\u9053.shp'", "crsjgd2000": "QgsCoordinateReferenceSystem('EPSG:2450')"}, "OUTPUTS": {"": "E:/G\u7a7a\u9593\u60c5\u5831\u30bb\u30f3\u30bf\u30fc/15\u65b0\u6f5f\u770c/54\u4f50\u6e21\u68ee\u6797\u8a08\u753b\u533aTKY2JGD/\u7b2c8\u7cfb/\u4f5c\u696d\u9053.fgb"}}</t>
  </si>
  <si>
    <t>{"PARAMETERS": {"2": "'E:/G\u7a7a\u9593\u60c5\u5831\u30bb\u30f3\u30bf\u30fc/15\u65b0\u6f5f\u770c/54\u4f50\u6e21\u68ee\u6797\u8a08\u753b\u533a/\u7b2c8\u7cfb/\u7b49\u9ad8\u7dda10m\u9593\u9694.shp'", "crsjgd2000": "QgsCoordinateReferenceSystem('EPSG:2450')"}, "OUTPUTS": {"": "E:/G\u7a7a\u9593\u60c5\u5831\u30bb\u30f3\u30bf\u30fc/15\u65b0\u6f5f\u770c/54\u4f50\u6e21\u68ee\u6797\u8a08\u753b\u533aTKY2JGD/\u7b2c8\u7cfb/\u7b49\u9ad8\u7dda10m\u9593\u9694.fgb"}}</t>
  </si>
  <si>
    <t>{"PARAMETERS": {"2": "'E:/G\u7a7a\u9593\u60c5\u5831\u30bb\u30f3\u30bf\u30fc/16\u5bcc\u5c71\u770c/55\u795e\u901a\u5ddd\u68ee\u6797\u8a08\u753b\u533a/\u7b2c7\u7cfb/\u5883\u754c.shp'", "crsjgd2000": "QgsCoordinateReferenceSystem('EPSG:2449')"}, "OUTPUTS": {"": "E:/G\u7a7a\u9593\u60c5\u5831\u30bb\u30f3\u30bf\u30fc/16\u5bcc\u5c71\u770c/55\u795e\u901a\u5ddd\u68ee\u6797\u8a08\u753b\u533aTKY2JGD/\u7b2c7\u7cfb/\u5883\u754c.fgb"}}</t>
  </si>
  <si>
    <t>{"PARAMETERS": {"2": "'E:/G\u7a7a\u9593\u60c5\u5831\u30bb\u30f3\u30bf\u30fc/16\u5bcc\u5c71\u770c/55\u795e\u901a\u5ddd\u68ee\u6797\u8a08\u753b\u533a/\u7b2c7\u7cfb/\u6797\u73ed\u754c.shp'", "crsjgd2000": "QgsCoordinateReferenceSystem('EPSG:2449')"}, "OUTPUTS": {"": "E:/G\u7a7a\u9593\u60c5\u5831\u30bb\u30f3\u30bf\u30fc/16\u5bcc\u5c71\u770c/55\u795e\u901a\u5ddd\u68ee\u6797\u8a08\u753b\u533aTKY2JGD/\u7b2c7\u7cfb/\u6797\u73ed\u754c.fgb"}}</t>
  </si>
  <si>
    <t>{"PARAMETERS": {"2": "'E:/G\u7a7a\u9593\u60c5\u5831\u30bb\u30f3\u30bf\u30fc/16\u5bcc\u5c71\u770c/55\u795e\u901a\u5ddd\u68ee\u6797\u8a08\u753b\u533a/\u7b2c7\u7cfb/\u6797\u73ed\u533a\u753b.shp'", "crsjgd2000": "QgsCoordinateReferenceSystem('EPSG:2449')"}, "OUTPUTS": {"": "E:/G\u7a7a\u9593\u60c5\u5831\u30bb\u30f3\u30bf\u30fc/16\u5bcc\u5c71\u770c/55\u795e\u901a\u5ddd\u68ee\u6797\u8a08\u753b\u533aTKY2JGD/\u7b2c7\u7cfb/\u6797\u73ed\u533a\u753b.fgb"}}</t>
  </si>
  <si>
    <t>{"PARAMETERS": {"2": "'E:/G\u7a7a\u9593\u60c5\u5831\u30bb\u30f3\u30bf\u30fc/16\u5bcc\u5c71\u770c/55\u795e\u901a\u5ddd\u68ee\u6797\u8a08\u753b\u533a/\u7b2c7\u7cfb/\u5c0f\u73ed\u754c.shp'", "crsjgd2000": "QgsCoordinateReferenceSystem('EPSG:2449')"}, "OUTPUTS": {"": "E:/G\u7a7a\u9593\u60c5\u5831\u30bb\u30f3\u30bf\u30fc/16\u5bcc\u5c71\u770c/55\u795e\u901a\u5ddd\u68ee\u6797\u8a08\u753b\u533aTKY2JGD/\u7b2c7\u7cfb/\u5c0f\u73ed\u754c.fgb"}}</t>
  </si>
  <si>
    <t>{"PARAMETERS": {"2": "'E:/G\u7a7a\u9593\u60c5\u5831\u30bb\u30f3\u30bf\u30fc/16\u5bcc\u5c71\u770c/55\u795e\u901a\u5ddd\u68ee\u6797\u8a08\u753b\u533a/\u7b2c7\u7cfb/\u5c0f\u73ed\u533a\u753b.shp'", "crsjgd2000": "QgsCoordinateReferenceSystem('EPSG:2449')"}, "OUTPUTS": {"": "E:/G\u7a7a\u9593\u60c5\u5831\u30bb\u30f3\u30bf\u30fc/16\u5bcc\u5c71\u770c/55\u795e\u901a\u5ddd\u68ee\u6797\u8a08\u753b\u533aTKY2JGD/\u7b2c7\u7cfb/\u5c0f\u73ed\u533a\u753b.fgb"}}</t>
  </si>
  <si>
    <t>{"PARAMETERS": {"2": "'E:/G\u7a7a\u9593\u60c5\u5831\u30bb\u30f3\u30bf\u30fc/16\u5bcc\u5c71\u770c/55\u795e\u901a\u5ddd\u68ee\u6797\u8a08\u753b\u533a/\u7b2c7\u7cfb/\u6797\u9053.shp'", "crsjgd2000": "QgsCoordinateReferenceSystem('EPSG:2449')"}, "OUTPUTS": {"": "E:/G\u7a7a\u9593\u60c5\u5831\u30bb\u30f3\u30bf\u30fc/16\u5bcc\u5c71\u770c/55\u795e\u901a\u5ddd\u68ee\u6797\u8a08\u753b\u533aTKY2JGD/\u7b2c7\u7cfb/\u6797\u9053.fgb"}}</t>
  </si>
  <si>
    <t>{"PARAMETERS": {"2": "'E:/G\u7a7a\u9593\u60c5\u5831\u30bb\u30f3\u30bf\u30fc/16\u5bcc\u5c71\u770c/55\u795e\u901a\u5ddd\u68ee\u6797\u8a08\u753b\u533a/\u7b2c7\u7cfb/\u4f5c\u696d\u9053.shp'", "crsjgd2000": "QgsCoordinateReferenceSystem('EPSG:2449')"}, "OUTPUTS": {"": "E:/G\u7a7a\u9593\u60c5\u5831\u30bb\u30f3\u30bf\u30fc/16\u5bcc\u5c71\u770c/55\u795e\u901a\u5ddd\u68ee\u6797\u8a08\u753b\u533aTKY2JGD/\u7b2c7\u7cfb/\u4f5c\u696d\u9053.fgb"}}</t>
  </si>
  <si>
    <t>{"PARAMETERS": {"2": "'E:/G\u7a7a\u9593\u60c5\u5831\u30bb\u30f3\u30bf\u30fc/16\u5bcc\u5c71\u770c/55\u795e\u901a\u5ddd\u68ee\u6797\u8a08\u753b\u533a/\u7b2c7\u7cfb/\u7b49\u9ad8\u7dda10m\u9593\u9694.shp'", "crsjgd2000": "QgsCoordinateReferenceSystem('EPSG:2449')"}, "OUTPUTS": {"": "E:/G\u7a7a\u9593\u60c5\u5831\u30bb\u30f3\u30bf\u30fc/16\u5bcc\u5c71\u770c/55\u795e\u901a\u5ddd\u68ee\u6797\u8a08\u753b\u533aTKY2JGD/\u7b2c7\u7cfb/\u7b49\u9ad8\u7dda10m\u9593\u9694.fgb"}}</t>
  </si>
  <si>
    <t>{"PARAMETERS": {"2": "'E:/G\u7a7a\u9593\u60c5\u5831\u30bb\u30f3\u30bf\u30fc/16\u5bcc\u5c71\u770c/56\u5e84\u5ddd\u68ee\u6797\u8a08\u753b\u533a/\u7b2c7\u7cfb/\u5883\u754c.shp'", "crsjgd2000": "QgsCoordinateReferenceSystem('EPSG:2449')"}, "OUTPUTS": {"": "E:/G\u7a7a\u9593\u60c5\u5831\u30bb\u30f3\u30bf\u30fc/16\u5bcc\u5c71\u770c/56\u5e84\u5ddd\u68ee\u6797\u8a08\u753b\u533aTKY2JGD/\u7b2c7\u7cfb/\u5883\u754c.fgb"}}</t>
  </si>
  <si>
    <t>{"PARAMETERS": {"2": "'E:/G\u7a7a\u9593\u60c5\u5831\u30bb\u30f3\u30bf\u30fc/16\u5bcc\u5c71\u770c/56\u5e84\u5ddd\u68ee\u6797\u8a08\u753b\u533a/\u7b2c7\u7cfb/\u6797\u73ed\u754c.shp'", "crsjgd2000": "QgsCoordinateReferenceSystem('EPSG:2449')"}, "OUTPUTS": {"": "E:/G\u7a7a\u9593\u60c5\u5831\u30bb\u30f3\u30bf\u30fc/16\u5bcc\u5c71\u770c/56\u5e84\u5ddd\u68ee\u6797\u8a08\u753b\u533aTKY2JGD/\u7b2c7\u7cfb/\u6797\u73ed\u754c.fgb"}}</t>
  </si>
  <si>
    <t>{"PARAMETERS": {"2": "'E:/G\u7a7a\u9593\u60c5\u5831\u30bb\u30f3\u30bf\u30fc/16\u5bcc\u5c71\u770c/56\u5e84\u5ddd\u68ee\u6797\u8a08\u753b\u533a/\u7b2c7\u7cfb/\u6797\u73ed\u533a\u753b.shp'", "crsjgd2000": "QgsCoordinateReferenceSystem('EPSG:2449')"}, "OUTPUTS": {"": "E:/G\u7a7a\u9593\u60c5\u5831\u30bb\u30f3\u30bf\u30fc/16\u5bcc\u5c71\u770c/56\u5e84\u5ddd\u68ee\u6797\u8a08\u753b\u533aTKY2JGD/\u7b2c7\u7cfb/\u6797\u73ed\u533a\u753b.fgb"}}</t>
  </si>
  <si>
    <t>{"PARAMETERS": {"2": "'E:/G\u7a7a\u9593\u60c5\u5831\u30bb\u30f3\u30bf\u30fc/16\u5bcc\u5c71\u770c/56\u5e84\u5ddd\u68ee\u6797\u8a08\u753b\u533a/\u7b2c7\u7cfb/\u5c0f\u73ed\u754c.shp'", "crsjgd2000": "QgsCoordinateReferenceSystem('EPSG:2449')"}, "OUTPUTS": {"": "E:/G\u7a7a\u9593\u60c5\u5831\u30bb\u30f3\u30bf\u30fc/16\u5bcc\u5c71\u770c/56\u5e84\u5ddd\u68ee\u6797\u8a08\u753b\u533aTKY2JGD/\u7b2c7\u7cfb/\u5c0f\u73ed\u754c.fgb"}}</t>
  </si>
  <si>
    <t>{"PARAMETERS": {"2": "'E:/G\u7a7a\u9593\u60c5\u5831\u30bb\u30f3\u30bf\u30fc/16\u5bcc\u5c71\u770c/56\u5e84\u5ddd\u68ee\u6797\u8a08\u753b\u533a/\u7b2c7\u7cfb/\u5c0f\u73ed\u533a\u753b.shp'", "crsjgd2000": "QgsCoordinateReferenceSystem('EPSG:2449')"}, "OUTPUTS": {"": "E:/G\u7a7a\u9593\u60c5\u5831\u30bb\u30f3\u30bf\u30fc/16\u5bcc\u5c71\u770c/56\u5e84\u5ddd\u68ee\u6797\u8a08\u753b\u533aTKY2JGD/\u7b2c7\u7cfb/\u5c0f\u73ed\u533a\u753b.fgb"}}</t>
  </si>
  <si>
    <t>{"PARAMETERS": {"2": "'E:/G\u7a7a\u9593\u60c5\u5831\u30bb\u30f3\u30bf\u30fc/16\u5bcc\u5c71\u770c/56\u5e84\u5ddd\u68ee\u6797\u8a08\u753b\u533a/\u7b2c7\u7cfb/\u6797\u9053.shp'", "crsjgd2000": "QgsCoordinateReferenceSystem('EPSG:2449')"}, "OUTPUTS": {"": "E:/G\u7a7a\u9593\u60c5\u5831\u30bb\u30f3\u30bf\u30fc/16\u5bcc\u5c71\u770c/56\u5e84\u5ddd\u68ee\u6797\u8a08\u753b\u533aTKY2JGD/\u7b2c7\u7cfb/\u6797\u9053.fgb"}}</t>
  </si>
  <si>
    <t>{"PARAMETERS": {"2": "'E:/G\u7a7a\u9593\u60c5\u5831\u30bb\u30f3\u30bf\u30fc/16\u5bcc\u5c71\u770c/56\u5e84\u5ddd\u68ee\u6797\u8a08\u753b\u533a/\u7b2c7\u7cfb/\u4f5c\u696d\u9053.shp'", "crsjgd2000": "QgsCoordinateReferenceSystem('EPSG:2449')"}, "OUTPUTS": {"": "E:/G\u7a7a\u9593\u60c5\u5831\u30bb\u30f3\u30bf\u30fc/16\u5bcc\u5c71\u770c/56\u5e84\u5ddd\u68ee\u6797\u8a08\u753b\u533aTKY2JGD/\u7b2c7\u7cfb/\u4f5c\u696d\u9053.fgb"}}</t>
  </si>
  <si>
    <t>{"PARAMETERS": {"2": "'E:/G\u7a7a\u9593\u60c5\u5831\u30bb\u30f3\u30bf\u30fc/16\u5bcc\u5c71\u770c/56\u5e84\u5ddd\u68ee\u6797\u8a08\u753b\u533a/\u7b2c7\u7cfb/\u7b49\u9ad8\u7dda10m\u9593\u9694.shp'", "crsjgd2000": "QgsCoordinateReferenceSystem('EPSG:2449')"}, "OUTPUTS": {"": "E:/G\u7a7a\u9593\u60c5\u5831\u30bb\u30f3\u30bf\u30fc/16\u5bcc\u5c71\u770c/56\u5e84\u5ddd\u68ee\u6797\u8a08\u753b\u533aTKY2JGD/\u7b2c7\u7cfb/\u7b49\u9ad8\u7dda10m\u9593\u9694.fgb"}}</t>
  </si>
  <si>
    <t>{"PARAMETERS": {"2": "'E:/G\u7a7a\u9593\u60c5\u5831\u30bb\u30f3\u30bf\u30fc/17\u77f3\u5ddd\u770c/57\u80fd\u767b\u68ee\u6797\u8a08\u753b\u533a/\u7b2c7\u7cfb/\u5883\u754c.shp'", "crsjgd2000": "QgsCoordinateReferenceSystem('EPSG:2449')"}, "OUTPUTS": {"": "E:/G\u7a7a\u9593\u60c5\u5831\u30bb\u30f3\u30bf\u30fc/17\u77f3\u5ddd\u770c/57\u80fd\u767b\u68ee\u6797\u8a08\u753b\u533aTKY2JGD/\u7b2c7\u7cfb/\u5883\u754c.fgb"}}</t>
  </si>
  <si>
    <t>{"PARAMETERS": {"2": "'E:/G\u7a7a\u9593\u60c5\u5831\u30bb\u30f3\u30bf\u30fc/17\u77f3\u5ddd\u770c/57\u80fd\u767b\u68ee\u6797\u8a08\u753b\u533a/\u7b2c7\u7cfb/\u6797\u73ed\u754c.shp'", "crsjgd2000": "QgsCoordinateReferenceSystem('EPSG:2449')"}, "OUTPUTS": {"": "E:/G\u7a7a\u9593\u60c5\u5831\u30bb\u30f3\u30bf\u30fc/17\u77f3\u5ddd\u770c/57\u80fd\u767b\u68ee\u6797\u8a08\u753b\u533aTKY2JGD/\u7b2c7\u7cfb/\u6797\u73ed\u754c.fgb"}}</t>
  </si>
  <si>
    <t>{"PARAMETERS": {"2": "'E:/G\u7a7a\u9593\u60c5\u5831\u30bb\u30f3\u30bf\u30fc/17\u77f3\u5ddd\u770c/57\u80fd\u767b\u68ee\u6797\u8a08\u753b\u533a/\u7b2c7\u7cfb/\u6797\u73ed\u533a\u753b.shp'", "crsjgd2000": "QgsCoordinateReferenceSystem('EPSG:2449')"}, "OUTPUTS": {"": "E:/G\u7a7a\u9593\u60c5\u5831\u30bb\u30f3\u30bf\u30fc/17\u77f3\u5ddd\u770c/57\u80fd\u767b\u68ee\u6797\u8a08\u753b\u533aTKY2JGD/\u7b2c7\u7cfb/\u6797\u73ed\u533a\u753b.fgb"}}</t>
  </si>
  <si>
    <t>{"PARAMETERS": {"2": "'E:/G\u7a7a\u9593\u60c5\u5831\u30bb\u30f3\u30bf\u30fc/17\u77f3\u5ddd\u770c/57\u80fd\u767b\u68ee\u6797\u8a08\u753b\u533a/\u7b2c7\u7cfb/\u5c0f\u73ed\u754c.shp'", "crsjgd2000": "QgsCoordinateReferenceSystem('EPSG:2449')"}, "OUTPUTS": {"": "E:/G\u7a7a\u9593\u60c5\u5831\u30bb\u30f3\u30bf\u30fc/17\u77f3\u5ddd\u770c/57\u80fd\u767b\u68ee\u6797\u8a08\u753b\u533aTKY2JGD/\u7b2c7\u7cfb/\u5c0f\u73ed\u754c.fgb"}}</t>
  </si>
  <si>
    <t>{"PARAMETERS": {"2": "'E:/G\u7a7a\u9593\u60c5\u5831\u30bb\u30f3\u30bf\u30fc/17\u77f3\u5ddd\u770c/57\u80fd\u767b\u68ee\u6797\u8a08\u753b\u533a/\u7b2c7\u7cfb/\u5c0f\u73ed\u533a\u753b.shp'", "crsjgd2000": "QgsCoordinateReferenceSystem('EPSG:2449')"}, "OUTPUTS": {"": "E:/G\u7a7a\u9593\u60c5\u5831\u30bb\u30f3\u30bf\u30fc/17\u77f3\u5ddd\u770c/57\u80fd\u767b\u68ee\u6797\u8a08\u753b\u533aTKY2JGD/\u7b2c7\u7cfb/\u5c0f\u73ed\u533a\u753b.fgb"}}</t>
  </si>
  <si>
    <t>{"PARAMETERS": {"2": "'E:/G\u7a7a\u9593\u60c5\u5831\u30bb\u30f3\u30bf\u30fc/17\u77f3\u5ddd\u770c/57\u80fd\u767b\u68ee\u6797\u8a08\u753b\u533a/\u7b2c7\u7cfb/\u6797\u9053.shp'", "crsjgd2000": "QgsCoordinateReferenceSystem('EPSG:2449')"}, "OUTPUTS": {"": "E:/G\u7a7a\u9593\u60c5\u5831\u30bb\u30f3\u30bf\u30fc/17\u77f3\u5ddd\u770c/57\u80fd\u767b\u68ee\u6797\u8a08\u753b\u533aTKY2JGD/\u7b2c7\u7cfb/\u6797\u9053.fgb"}}</t>
  </si>
  <si>
    <t>{"PARAMETERS": {"2": "'E:/G\u7a7a\u9593\u60c5\u5831\u30bb\u30f3\u30bf\u30fc/17\u77f3\u5ddd\u770c/57\u80fd\u767b\u68ee\u6797\u8a08\u753b\u533a/\u7b2c7\u7cfb/\u4f5c\u696d\u9053.shp'", "crsjgd2000": "QgsCoordinateReferenceSystem('EPSG:2449')"}, "OUTPUTS": {"": "E:/G\u7a7a\u9593\u60c5\u5831\u30bb\u30f3\u30bf\u30fc/17\u77f3\u5ddd\u770c/57\u80fd\u767b\u68ee\u6797\u8a08\u753b\u533aTKY2JGD/\u7b2c7\u7cfb/\u4f5c\u696d\u9053.fgb"}}</t>
  </si>
  <si>
    <t>{"PARAMETERS": {"2": "'E:/G\u7a7a\u9593\u60c5\u5831\u30bb\u30f3\u30bf\u30fc/17\u77f3\u5ddd\u770c/57\u80fd\u767b\u68ee\u6797\u8a08\u753b\u533a/\u7b2c7\u7cfb/\u7b49\u9ad8\u7dda10m\u9593\u9694.shp'", "crsjgd2000": "QgsCoordinateReferenceSystem('EPSG:2449')"}, "OUTPUTS": {"": "E:/G\u7a7a\u9593\u60c5\u5831\u30bb\u30f3\u30bf\u30fc/17\u77f3\u5ddd\u770c/57\u80fd\u767b\u68ee\u6797\u8a08\u753b\u533aTKY2JGD/\u7b2c7\u7cfb/\u7b49\u9ad8\u7dda10m\u9593\u9694.fgb"}}</t>
  </si>
  <si>
    <t>{"PARAMETERS": {"2": "'E:/G\u7a7a\u9593\u60c5\u5831\u30bb\u30f3\u30bf\u30fc/17\u77f3\u5ddd\u770c/58\u52a0\u8cc0\u68ee\u6797\u8a08\u753b\u533a/\u7b2c7\u7cfb/\u5883\u754c.shp'", "crsjgd2000": "QgsCoordinateReferenceSystem('EPSG:2449')"}, "OUTPUTS": {"": "E:/G\u7a7a\u9593\u60c5\u5831\u30bb\u30f3\u30bf\u30fc/17\u77f3\u5ddd\u770c/58\u52a0\u8cc0\u68ee\u6797\u8a08\u753b\u533aTKY2JGD/\u7b2c7\u7cfb/\u5883\u754c.fgb"}}</t>
  </si>
  <si>
    <t>{"PARAMETERS": {"2": "'E:/G\u7a7a\u9593\u60c5\u5831\u30bb\u30f3\u30bf\u30fc/17\u77f3\u5ddd\u770c/58\u52a0\u8cc0\u68ee\u6797\u8a08\u753b\u533a/\u7b2c7\u7cfb/\u6797\u73ed\u754c.shp'", "crsjgd2000": "QgsCoordinateReferenceSystem('EPSG:2449')"}, "OUTPUTS": {"": "E:/G\u7a7a\u9593\u60c5\u5831\u30bb\u30f3\u30bf\u30fc/17\u77f3\u5ddd\u770c/58\u52a0\u8cc0\u68ee\u6797\u8a08\u753b\u533aTKY2JGD/\u7b2c7\u7cfb/\u6797\u73ed\u754c.fgb"}}</t>
  </si>
  <si>
    <t>{"PARAMETERS": {"2": "'E:/G\u7a7a\u9593\u60c5\u5831\u30bb\u30f3\u30bf\u30fc/17\u77f3\u5ddd\u770c/58\u52a0\u8cc0\u68ee\u6797\u8a08\u753b\u533a/\u7b2c7\u7cfb/\u6797\u73ed\u533a\u753b.shp'", "crsjgd2000": "QgsCoordinateReferenceSystem('EPSG:2449')"}, "OUTPUTS": {"": "E:/G\u7a7a\u9593\u60c5\u5831\u30bb\u30f3\u30bf\u30fc/17\u77f3\u5ddd\u770c/58\u52a0\u8cc0\u68ee\u6797\u8a08\u753b\u533aTKY2JGD/\u7b2c7\u7cfb/\u6797\u73ed\u533a\u753b.fgb"}}</t>
  </si>
  <si>
    <t>{"PARAMETERS": {"2": "'E:/G\u7a7a\u9593\u60c5\u5831\u30bb\u30f3\u30bf\u30fc/17\u77f3\u5ddd\u770c/58\u52a0\u8cc0\u68ee\u6797\u8a08\u753b\u533a/\u7b2c7\u7cfb/\u5c0f\u73ed\u754c.shp'", "crsjgd2000": "QgsCoordinateReferenceSystem('EPSG:2449')"}, "OUTPUTS": {"": "E:/G\u7a7a\u9593\u60c5\u5831\u30bb\u30f3\u30bf\u30fc/17\u77f3\u5ddd\u770c/58\u52a0\u8cc0\u68ee\u6797\u8a08\u753b\u533aTKY2JGD/\u7b2c7\u7cfb/\u5c0f\u73ed\u754c.fgb"}}</t>
  </si>
  <si>
    <t>{"PARAMETERS": {"2": "'E:/G\u7a7a\u9593\u60c5\u5831\u30bb\u30f3\u30bf\u30fc/17\u77f3\u5ddd\u770c/58\u52a0\u8cc0\u68ee\u6797\u8a08\u753b\u533a/\u7b2c7\u7cfb/\u5c0f\u73ed\u533a\u753b.shp'", "crsjgd2000": "QgsCoordinateReferenceSystem('EPSG:2449')"}, "OUTPUTS": {"": "E:/G\u7a7a\u9593\u60c5\u5831\u30bb\u30f3\u30bf\u30fc/17\u77f3\u5ddd\u770c/58\u52a0\u8cc0\u68ee\u6797\u8a08\u753b\u533aTKY2JGD/\u7b2c7\u7cfb/\u5c0f\u73ed\u533a\u753b.fgb"}}</t>
  </si>
  <si>
    <t>{"PARAMETERS": {"2": "'E:/G\u7a7a\u9593\u60c5\u5831\u30bb\u30f3\u30bf\u30fc/17\u77f3\u5ddd\u770c/58\u52a0\u8cc0\u68ee\u6797\u8a08\u753b\u533a/\u7b2c7\u7cfb/\u6797\u9053.shp'", "crsjgd2000": "QgsCoordinateReferenceSystem('EPSG:2449')"}, "OUTPUTS": {"": "E:/G\u7a7a\u9593\u60c5\u5831\u30bb\u30f3\u30bf\u30fc/17\u77f3\u5ddd\u770c/58\u52a0\u8cc0\u68ee\u6797\u8a08\u753b\u533aTKY2JGD/\u7b2c7\u7cfb/\u6797\u9053.fgb"}}</t>
  </si>
  <si>
    <t>{"PARAMETERS": {"2": "'E:/G\u7a7a\u9593\u60c5\u5831\u30bb\u30f3\u30bf\u30fc/17\u77f3\u5ddd\u770c/58\u52a0\u8cc0\u68ee\u6797\u8a08\u753b\u533a/\u7b2c7\u7cfb/\u4f5c\u696d\u9053.shp'", "crsjgd2000": "QgsCoordinateReferenceSystem('EPSG:2449')"}, "OUTPUTS": {"": "E:/G\u7a7a\u9593\u60c5\u5831\u30bb\u30f3\u30bf\u30fc/17\u77f3\u5ddd\u770c/58\u52a0\u8cc0\u68ee\u6797\u8a08\u753b\u533aTKY2JGD/\u7b2c7\u7cfb/\u4f5c\u696d\u9053.fgb"}}</t>
  </si>
  <si>
    <t>{"PARAMETERS": {"2": "'E:/G\u7a7a\u9593\u60c5\u5831\u30bb\u30f3\u30bf\u30fc/17\u77f3\u5ddd\u770c/58\u52a0\u8cc0\u68ee\u6797\u8a08\u753b\u533a/\u7b2c7\u7cfb/\u7b49\u9ad8\u7dda10m\u9593\u9694.shp'", "crsjgd2000": "QgsCoordinateReferenceSystem('EPSG:2449')"}, "OUTPUTS": {"": "E:/G\u7a7a\u9593\u60c5\u5831\u30bb\u30f3\u30bf\u30fc/17\u77f3\u5ddd\u770c/58\u52a0\u8cc0\u68ee\u6797\u8a08\u753b\u533aTKY2JGD/\u7b2c7\u7cfb/\u7b49\u9ad8\u7dda10m\u9593\u9694.fgb"}}</t>
  </si>
  <si>
    <t>{"PARAMETERS": {"2": "'E:/G\u7a7a\u9593\u60c5\u5831\u30bb\u30f3\u30bf\u30fc/18\u798f\u4e95\u770c/59\u8d8a\u524d\u68ee\u6797\u8a08\u753b\u533a/\u7b2c6\u7cfb/\u5883\u754c.shp'", "crsjgd2000": "QgsCoordinateReferenceSystem('EPSG:2448')"}, "OUTPUTS": {"": "E:/G\u7a7a\u9593\u60c5\u5831\u30bb\u30f3\u30bf\u30fc/18\u798f\u4e95\u770c/59\u8d8a\u524d\u68ee\u6797\u8a08\u753b\u533aTKY2JGD/\u7b2c6\u7cfb/\u5883\u754c.fgb"}}</t>
  </si>
  <si>
    <t>{"PARAMETERS": {"2": "'E:/G\u7a7a\u9593\u60c5\u5831\u30bb\u30f3\u30bf\u30fc/18\u798f\u4e95\u770c/59\u8d8a\u524d\u68ee\u6797\u8a08\u753b\u533a/\u7b2c6\u7cfb/\u6797\u73ed\u754c.shp'", "crsjgd2000": "QgsCoordinateReferenceSystem('EPSG:2448')"}, "OUTPUTS": {"": "E:/G\u7a7a\u9593\u60c5\u5831\u30bb\u30f3\u30bf\u30fc/18\u798f\u4e95\u770c/59\u8d8a\u524d\u68ee\u6797\u8a08\u753b\u533aTKY2JGD/\u7b2c6\u7cfb/\u6797\u73ed\u754c.fgb"}}</t>
  </si>
  <si>
    <t>{"PARAMETERS": {"2": "'E:/G\u7a7a\u9593\u60c5\u5831\u30bb\u30f3\u30bf\u30fc/18\u798f\u4e95\u770c/59\u8d8a\u524d\u68ee\u6797\u8a08\u753b\u533a/\u7b2c6\u7cfb/\u6797\u73ed\u533a\u753b.shp'", "crsjgd2000": "QgsCoordinateReferenceSystem('EPSG:2448')"}, "OUTPUTS": {"": "E:/G\u7a7a\u9593\u60c5\u5831\u30bb\u30f3\u30bf\u30fc/18\u798f\u4e95\u770c/59\u8d8a\u524d\u68ee\u6797\u8a08\u753b\u533aTKY2JGD/\u7b2c6\u7cfb/\u6797\u73ed\u533a\u753b.fgb"}}</t>
  </si>
  <si>
    <t>{"PARAMETERS": {"2": "'E:/G\u7a7a\u9593\u60c5\u5831\u30bb\u30f3\u30bf\u30fc/18\u798f\u4e95\u770c/59\u8d8a\u524d\u68ee\u6797\u8a08\u753b\u533a/\u7b2c6\u7cfb/\u5c0f\u73ed\u754c.shp'", "crsjgd2000": "QgsCoordinateReferenceSystem('EPSG:2448')"}, "OUTPUTS": {"": "E:/G\u7a7a\u9593\u60c5\u5831\u30bb\u30f3\u30bf\u30fc/18\u798f\u4e95\u770c/59\u8d8a\u524d\u68ee\u6797\u8a08\u753b\u533aTKY2JGD/\u7b2c6\u7cfb/\u5c0f\u73ed\u754c.fgb"}}</t>
  </si>
  <si>
    <t>{"PARAMETERS": {"2": "'E:/G\u7a7a\u9593\u60c5\u5831\u30bb\u30f3\u30bf\u30fc/18\u798f\u4e95\u770c/59\u8d8a\u524d\u68ee\u6797\u8a08\u753b\u533a/\u7b2c6\u7cfb/\u5c0f\u73ed\u533a\u753b.shp'", "crsjgd2000": "QgsCoordinateReferenceSystem('EPSG:2448')"}, "OUTPUTS": {"": "E:/G\u7a7a\u9593\u60c5\u5831\u30bb\u30f3\u30bf\u30fc/18\u798f\u4e95\u770c/59\u8d8a\u524d\u68ee\u6797\u8a08\u753b\u533aTKY2JGD/\u7b2c6\u7cfb/\u5c0f\u73ed\u533a\u753b.fgb"}}</t>
  </si>
  <si>
    <t>{"PARAMETERS": {"2": "'E:/G\u7a7a\u9593\u60c5\u5831\u30bb\u30f3\u30bf\u30fc/18\u798f\u4e95\u770c/59\u8d8a\u524d\u68ee\u6797\u8a08\u753b\u533a/\u7b2c6\u7cfb/\u6797\u9053.shp'", "crsjgd2000": "QgsCoordinateReferenceSystem('EPSG:2448')"}, "OUTPUTS": {"": "E:/G\u7a7a\u9593\u60c5\u5831\u30bb\u30f3\u30bf\u30fc/18\u798f\u4e95\u770c/59\u8d8a\u524d\u68ee\u6797\u8a08\u753b\u533aTKY2JGD/\u7b2c6\u7cfb/\u6797\u9053.fgb"}}</t>
  </si>
  <si>
    <t>{"PARAMETERS": {"2": "'E:/G\u7a7a\u9593\u60c5\u5831\u30bb\u30f3\u30bf\u30fc/18\u798f\u4e95\u770c/59\u8d8a\u524d\u68ee\u6797\u8a08\u753b\u533a/\u7b2c6\u7cfb/\u4f5c\u696d\u9053.shp'", "crsjgd2000": "QgsCoordinateReferenceSystem('EPSG:2448')"}, "OUTPUTS": {"": "E:/G\u7a7a\u9593\u60c5\u5831\u30bb\u30f3\u30bf\u30fc/18\u798f\u4e95\u770c/59\u8d8a\u524d\u68ee\u6797\u8a08\u753b\u533aTKY2JGD/\u7b2c6\u7cfb/\u4f5c\u696d\u9053.fgb"}}</t>
  </si>
  <si>
    <t>{"PARAMETERS": {"2": "'E:/G\u7a7a\u9593\u60c5\u5831\u30bb\u30f3\u30bf\u30fc/18\u798f\u4e95\u770c/59\u8d8a\u524d\u68ee\u6797\u8a08\u753b\u533a/\u7b2c6\u7cfb/\u7b49\u9ad8\u7dda10m\u9593\u9694.shp'", "crsjgd2000": "QgsCoordinateReferenceSystem('EPSG:2448')"}, "OUTPUTS": {"": "E:/G\u7a7a\u9593\u60c5\u5831\u30bb\u30f3\u30bf\u30fc/18\u798f\u4e95\u770c/59\u8d8a\u524d\u68ee\u6797\u8a08\u753b\u533aTKY2JGD/\u7b2c6\u7cfb/\u7b49\u9ad8\u7dda10m\u9593\u9694.fgb"}}</t>
  </si>
  <si>
    <t>{"PARAMETERS": {"2": "'E:/G\u7a7a\u9593\u60c5\u5831\u30bb\u30f3\u30bf\u30fc/18\u798f\u4e95\u770c/60\u82e5\u72ed\u68ee\u6797\u8a08\u753b\u533a/\u7b2c6\u7cfb/\u5883\u754c.shp'", "crsjgd2000": "QgsCoordinateReferenceSystem('EPSG:2448')"}, "OUTPUTS": {"": "E:/G\u7a7a\u9593\u60c5\u5831\u30bb\u30f3\u30bf\u30fc/18\u798f\u4e95\u770c/60\u82e5\u72ed\u68ee\u6797\u8a08\u753b\u533aTKY2JGD/\u7b2c6\u7cfb/\u5883\u754c.fgb"}}</t>
  </si>
  <si>
    <t>{"PARAMETERS": {"2": "'E:/G\u7a7a\u9593\u60c5\u5831\u30bb\u30f3\u30bf\u30fc/18\u798f\u4e95\u770c/60\u82e5\u72ed\u68ee\u6797\u8a08\u753b\u533a/\u7b2c6\u7cfb/\u6797\u73ed\u754c.shp'", "crsjgd2000": "QgsCoordinateReferenceSystem('EPSG:2448')"}, "OUTPUTS": {"": "E:/G\u7a7a\u9593\u60c5\u5831\u30bb\u30f3\u30bf\u30fc/18\u798f\u4e95\u770c/60\u82e5\u72ed\u68ee\u6797\u8a08\u753b\u533aTKY2JGD/\u7b2c6\u7cfb/\u6797\u73ed\u754c.fgb"}}</t>
  </si>
  <si>
    <t>{"PARAMETERS": {"2": "'E:/G\u7a7a\u9593\u60c5\u5831\u30bb\u30f3\u30bf\u30fc/18\u798f\u4e95\u770c/60\u82e5\u72ed\u68ee\u6797\u8a08\u753b\u533a/\u7b2c6\u7cfb/\u6797\u73ed\u533a\u753b.shp'", "crsjgd2000": "QgsCoordinateReferenceSystem('EPSG:2448')"}, "OUTPUTS": {"": "E:/G\u7a7a\u9593\u60c5\u5831\u30bb\u30f3\u30bf\u30fc/18\u798f\u4e95\u770c/60\u82e5\u72ed\u68ee\u6797\u8a08\u753b\u533aTKY2JGD/\u7b2c6\u7cfb/\u6797\u73ed\u533a\u753b.fgb"}}</t>
  </si>
  <si>
    <t>{"PARAMETERS": {"2": "'E:/G\u7a7a\u9593\u60c5\u5831\u30bb\u30f3\u30bf\u30fc/18\u798f\u4e95\u770c/60\u82e5\u72ed\u68ee\u6797\u8a08\u753b\u533a/\u7b2c6\u7cfb/\u5c0f\u73ed\u754c.shp'", "crsjgd2000": "QgsCoordinateReferenceSystem('EPSG:2448')"}, "OUTPUTS": {"": "E:/G\u7a7a\u9593\u60c5\u5831\u30bb\u30f3\u30bf\u30fc/18\u798f\u4e95\u770c/60\u82e5\u72ed\u68ee\u6797\u8a08\u753b\u533aTKY2JGD/\u7b2c6\u7cfb/\u5c0f\u73ed\u754c.fgb"}}</t>
  </si>
  <si>
    <t>{"PARAMETERS": {"2": "'E:/G\u7a7a\u9593\u60c5\u5831\u30bb\u30f3\u30bf\u30fc/18\u798f\u4e95\u770c/60\u82e5\u72ed\u68ee\u6797\u8a08\u753b\u533a/\u7b2c6\u7cfb/\u5c0f\u73ed\u533a\u753b.shp'", "crsjgd2000": "QgsCoordinateReferenceSystem('EPSG:2448')"}, "OUTPUTS": {"": "E:/G\u7a7a\u9593\u60c5\u5831\u30bb\u30f3\u30bf\u30fc/18\u798f\u4e95\u770c/60\u82e5\u72ed\u68ee\u6797\u8a08\u753b\u533aTKY2JGD/\u7b2c6\u7cfb/\u5c0f\u73ed\u533a\u753b.fgb"}}</t>
  </si>
  <si>
    <t>{"PARAMETERS": {"2": "'E:/G\u7a7a\u9593\u60c5\u5831\u30bb\u30f3\u30bf\u30fc/18\u798f\u4e95\u770c/60\u82e5\u72ed\u68ee\u6797\u8a08\u753b\u533a/\u7b2c6\u7cfb/\u6797\u9053.shp'", "crsjgd2000": "QgsCoordinateReferenceSystem('EPSG:2448')"}, "OUTPUTS": {"": "E:/G\u7a7a\u9593\u60c5\u5831\u30bb\u30f3\u30bf\u30fc/18\u798f\u4e95\u770c/60\u82e5\u72ed\u68ee\u6797\u8a08\u753b\u533aTKY2JGD/\u7b2c6\u7cfb/\u6797\u9053.fgb"}}</t>
  </si>
  <si>
    <t>{"PARAMETERS": {"2": "'E:/G\u7a7a\u9593\u60c5\u5831\u30bb\u30f3\u30bf\u30fc/18\u798f\u4e95\u770c/60\u82e5\u72ed\u68ee\u6797\u8a08\u753b\u533a/\u7b2c6\u7cfb/\u4f5c\u696d\u9053.shp'", "crsjgd2000": "QgsCoordinateReferenceSystem('EPSG:2448')"}, "OUTPUTS": {"": "E:/G\u7a7a\u9593\u60c5\u5831\u30bb\u30f3\u30bf\u30fc/18\u798f\u4e95\u770c/60\u82e5\u72ed\u68ee\u6797\u8a08\u753b\u533aTKY2JGD/\u7b2c6\u7cfb/\u4f5c\u696d\u9053.fgb"}}</t>
  </si>
  <si>
    <t>{"PARAMETERS": {"2": "'E:/G\u7a7a\u9593\u60c5\u5831\u30bb\u30f3\u30bf\u30fc/18\u798f\u4e95\u770c/60\u82e5\u72ed\u68ee\u6797\u8a08\u753b\u533a/\u7b2c6\u7cfb/\u7b49\u9ad8\u7dda10m\u9593\u9694.shp'", "crsjgd2000": "QgsCoordinateReferenceSystem('EPSG:2448')"}, "OUTPUTS": {"": "E:/G\u7a7a\u9593\u60c5\u5831\u30bb\u30f3\u30bf\u30fc/18\u798f\u4e95\u770c/60\u82e5\u72ed\u68ee\u6797\u8a08\u753b\u533aTKY2JGD/\u7b2c6\u7cfb/\u7b49\u9ad8\u7dda10m\u9593\u9694.fgb"}}</t>
  </si>
  <si>
    <t>{"PARAMETERS": {"2": "'E:/G\u7a7a\u9593\u60c5\u5831\u30bb\u30f3\u30bf\u30fc/19\u5c71\u68a8\u770c/61\u5c71\u68a8\u6771\u90e8\u68ee\u6797\u8a08\u753b\u533a/\u7b2c8\u7cfb/\u5883\u754c.shp'", "crsjgd2000": "QgsCoordinateReferenceSystem('EPSG:2450')"}, "OUTPUTS": {"": "E:/G\u7a7a\u9593\u60c5\u5831\u30bb\u30f3\u30bf\u30fc/19\u5c71\u68a8\u770c/61\u5c71\u68a8\u6771\u90e8\u68ee\u6797\u8a08\u753b\u533aTKY2JGD/\u7b2c8\u7cfb/\u5883\u754c.fgb"}}</t>
  </si>
  <si>
    <t>{"PARAMETERS": {"2": "'E:/G\u7a7a\u9593\u60c5\u5831\u30bb\u30f3\u30bf\u30fc/19\u5c71\u68a8\u770c/61\u5c71\u68a8\u6771\u90e8\u68ee\u6797\u8a08\u753b\u533a/\u7b2c8\u7cfb/\u6797\u73ed\u754c.shp'", "crsjgd2000": "QgsCoordinateReferenceSystem('EPSG:2450')"}, "OUTPUTS": {"": "E:/G\u7a7a\u9593\u60c5\u5831\u30bb\u30f3\u30bf\u30fc/19\u5c71\u68a8\u770c/61\u5c71\u68a8\u6771\u90e8\u68ee\u6797\u8a08\u753b\u533aTKY2JGD/\u7b2c8\u7cfb/\u6797\u73ed\u754c.fgb"}}</t>
  </si>
  <si>
    <t>{"PARAMETERS": {"2": "'E:/G\u7a7a\u9593\u60c5\u5831\u30bb\u30f3\u30bf\u30fc/19\u5c71\u68a8\u770c/61\u5c71\u68a8\u6771\u90e8\u68ee\u6797\u8a08\u753b\u533a/\u7b2c8\u7cfb/\u6797\u73ed\u533a\u753b.shp'", "crsjgd2000": "QgsCoordinateReferenceSystem('EPSG:2450')"}, "OUTPUTS": {"": "E:/G\u7a7a\u9593\u60c5\u5831\u30bb\u30f3\u30bf\u30fc/19\u5c71\u68a8\u770c/61\u5c71\u68a8\u6771\u90e8\u68ee\u6797\u8a08\u753b\u533aTKY2JGD/\u7b2c8\u7cfb/\u6797\u73ed\u533a\u753b.fgb"}}</t>
  </si>
  <si>
    <t>{"PARAMETERS": {"2": "'E:/G\u7a7a\u9593\u60c5\u5831\u30bb\u30f3\u30bf\u30fc/19\u5c71\u68a8\u770c/61\u5c71\u68a8\u6771\u90e8\u68ee\u6797\u8a08\u753b\u533a/\u7b2c8\u7cfb/\u5c0f\u73ed\u754c.shp'", "crsjgd2000": "QgsCoordinateReferenceSystem('EPSG:2450')"}, "OUTPUTS": {"": "E:/G\u7a7a\u9593\u60c5\u5831\u30bb\u30f3\u30bf\u30fc/19\u5c71\u68a8\u770c/61\u5c71\u68a8\u6771\u90e8\u68ee\u6797\u8a08\u753b\u533aTKY2JGD/\u7b2c8\u7cfb/\u5c0f\u73ed\u754c.fgb"}}</t>
  </si>
  <si>
    <t>{"PARAMETERS": {"2": "'E:/G\u7a7a\u9593\u60c5\u5831\u30bb\u30f3\u30bf\u30fc/19\u5c71\u68a8\u770c/61\u5c71\u68a8\u6771\u90e8\u68ee\u6797\u8a08\u753b\u533a/\u7b2c8\u7cfb/\u5c0f\u73ed\u533a\u753b.shp'", "crsjgd2000": "QgsCoordinateReferenceSystem('EPSG:2450')"}, "OUTPUTS": {"": "E:/G\u7a7a\u9593\u60c5\u5831\u30bb\u30f3\u30bf\u30fc/19\u5c71\u68a8\u770c/61\u5c71\u68a8\u6771\u90e8\u68ee\u6797\u8a08\u753b\u533aTKY2JGD/\u7b2c8\u7cfb/\u5c0f\u73ed\u533a\u753b.fgb"}}</t>
  </si>
  <si>
    <t>{"PARAMETERS": {"2": "'E:/G\u7a7a\u9593\u60c5\u5831\u30bb\u30f3\u30bf\u30fc/19\u5c71\u68a8\u770c/61\u5c71\u68a8\u6771\u90e8\u68ee\u6797\u8a08\u753b\u533a/\u7b2c8\u7cfb/\u6797\u9053.shp'", "crsjgd2000": "QgsCoordinateReferenceSystem('EPSG:2450')"}, "OUTPUTS": {"": "E:/G\u7a7a\u9593\u60c5\u5831\u30bb\u30f3\u30bf\u30fc/19\u5c71\u68a8\u770c/61\u5c71\u68a8\u6771\u90e8\u68ee\u6797\u8a08\u753b\u533aTKY2JGD/\u7b2c8\u7cfb/\u6797\u9053.fgb"}}</t>
  </si>
  <si>
    <t>{"PARAMETERS": {"2": "'E:/G\u7a7a\u9593\u60c5\u5831\u30bb\u30f3\u30bf\u30fc/19\u5c71\u68a8\u770c/61\u5c71\u68a8\u6771\u90e8\u68ee\u6797\u8a08\u753b\u533a/\u7b2c8\u7cfb/\u4f5c\u696d\u9053.shp'", "crsjgd2000": "QgsCoordinateReferenceSystem('EPSG:2450')"}, "OUTPUTS": {"": "E:/G\u7a7a\u9593\u60c5\u5831\u30bb\u30f3\u30bf\u30fc/19\u5c71\u68a8\u770c/61\u5c71\u68a8\u6771\u90e8\u68ee\u6797\u8a08\u753b\u533aTKY2JGD/\u7b2c8\u7cfb/\u4f5c\u696d\u9053.fgb"}}</t>
  </si>
  <si>
    <t>{"PARAMETERS": {"2": "'E:/G\u7a7a\u9593\u60c5\u5831\u30bb\u30f3\u30bf\u30fc/19\u5c71\u68a8\u770c/61\u5c71\u68a8\u6771\u90e8\u68ee\u6797\u8a08\u753b\u533a/\u7b2c8\u7cfb/\u7b49\u9ad8\u7dda10m\u9593\u9694.shp'", "crsjgd2000": "QgsCoordinateReferenceSystem('EPSG:2450')"}, "OUTPUTS": {"": "E:/G\u7a7a\u9593\u60c5\u5831\u30bb\u30f3\u30bf\u30fc/19\u5c71\u68a8\u770c/61\u5c71\u68a8\u6771\u90e8\u68ee\u6797\u8a08\u753b\u533aTKY2JGD/\u7b2c8\u7cfb/\u7b49\u9ad8\u7dda10m\u9593\u9694.fgb"}}</t>
  </si>
  <si>
    <t>{"PARAMETERS": {"2": "'E:/G\u7a7a\u9593\u60c5\u5831\u30bb\u30f3\u30bf\u30fc/19\u5c71\u68a8\u770c/62\u5bcc\u58eb\u5ddd\u4e0a\u6d41\u68ee\u6797\u8a08\u753b\u533a/\u7b2c8\u7cfb/\u5883\u754c.shp'", "crsjgd2000": "QgsCoordinateReferenceSystem('EPSG:2450')"}, "OUTPUTS": {"": "E:/G\u7a7a\u9593\u60c5\u5831\u30bb\u30f3\u30bf\u30fc/19\u5c71\u68a8\u770c/62\u5bcc\u58eb\u5ddd\u4e0a\u6d41\u68ee\u6797\u8a08\u753b\u533aTKY2JGD/\u7b2c8\u7cfb/\u5883\u754c.fgb"}}</t>
  </si>
  <si>
    <t>{"PARAMETERS": {"2": "'E:/G\u7a7a\u9593\u60c5\u5831\u30bb\u30f3\u30bf\u30fc/19\u5c71\u68a8\u770c/62\u5bcc\u58eb\u5ddd\u4e0a\u6d41\u68ee\u6797\u8a08\u753b\u533a/\u7b2c8\u7cfb/\u6797\u73ed\u754c.shp'", "crsjgd2000": "QgsCoordinateReferenceSystem('EPSG:2450')"}, "OUTPUTS": {"": "E:/G\u7a7a\u9593\u60c5\u5831\u30bb\u30f3\u30bf\u30fc/19\u5c71\u68a8\u770c/62\u5bcc\u58eb\u5ddd\u4e0a\u6d41\u68ee\u6797\u8a08\u753b\u533aTKY2JGD/\u7b2c8\u7cfb/\u6797\u73ed\u754c.fgb"}}</t>
  </si>
  <si>
    <t>{"PARAMETERS": {"2": "'E:/G\u7a7a\u9593\u60c5\u5831\u30bb\u30f3\u30bf\u30fc/19\u5c71\u68a8\u770c/62\u5bcc\u58eb\u5ddd\u4e0a\u6d41\u68ee\u6797\u8a08\u753b\u533a/\u7b2c8\u7cfb/\u6797\u73ed\u533a\u753b.shp'", "crsjgd2000": "QgsCoordinateReferenceSystem('EPSG:2450')"}, "OUTPUTS": {"": "E:/G\u7a7a\u9593\u60c5\u5831\u30bb\u30f3\u30bf\u30fc/19\u5c71\u68a8\u770c/62\u5bcc\u58eb\u5ddd\u4e0a\u6d41\u68ee\u6797\u8a08\u753b\u533aTKY2JGD/\u7b2c8\u7cfb/\u6797\u73ed\u533a\u753b.fgb"}}</t>
  </si>
  <si>
    <t>{"PARAMETERS": {"2": "'E:/G\u7a7a\u9593\u60c5\u5831\u30bb\u30f3\u30bf\u30fc/19\u5c71\u68a8\u770c/62\u5bcc\u58eb\u5ddd\u4e0a\u6d41\u68ee\u6797\u8a08\u753b\u533a/\u7b2c8\u7cfb/\u5c0f\u73ed\u754c.shp'", "crsjgd2000": "QgsCoordinateReferenceSystem('EPSG:2450')"}, "OUTPUTS": {"": "E:/G\u7a7a\u9593\u60c5\u5831\u30bb\u30f3\u30bf\u30fc/19\u5c71\u68a8\u770c/62\u5bcc\u58eb\u5ddd\u4e0a\u6d41\u68ee\u6797\u8a08\u753b\u533aTKY2JGD/\u7b2c8\u7cfb/\u5c0f\u73ed\u754c.fgb"}}</t>
  </si>
  <si>
    <t>{"PARAMETERS": {"2": "'E:/G\u7a7a\u9593\u60c5\u5831\u30bb\u30f3\u30bf\u30fc/19\u5c71\u68a8\u770c/62\u5bcc\u58eb\u5ddd\u4e0a\u6d41\u68ee\u6797\u8a08\u753b\u533a/\u7b2c8\u7cfb/\u5c0f\u73ed\u533a\u753b.shp'", "crsjgd2000": "QgsCoordinateReferenceSystem('EPSG:2450')"}, "OUTPUTS": {"": "E:/G\u7a7a\u9593\u60c5\u5831\u30bb\u30f3\u30bf\u30fc/19\u5c71\u68a8\u770c/62\u5bcc\u58eb\u5ddd\u4e0a\u6d41\u68ee\u6797\u8a08\u753b\u533aTKY2JGD/\u7b2c8\u7cfb/\u5c0f\u73ed\u533a\u753b.fgb"}}</t>
  </si>
  <si>
    <t>{"PARAMETERS": {"2": "'E:/G\u7a7a\u9593\u60c5\u5831\u30bb\u30f3\u30bf\u30fc/19\u5c71\u68a8\u770c/62\u5bcc\u58eb\u5ddd\u4e0a\u6d41\u68ee\u6797\u8a08\u753b\u533a/\u7b2c8\u7cfb/\u6797\u9053.shp'", "crsjgd2000": "QgsCoordinateReferenceSystem('EPSG:2450')"}, "OUTPUTS": {"": "E:/G\u7a7a\u9593\u60c5\u5831\u30bb\u30f3\u30bf\u30fc/19\u5c71\u68a8\u770c/62\u5bcc\u58eb\u5ddd\u4e0a\u6d41\u68ee\u6797\u8a08\u753b\u533aTKY2JGD/\u7b2c8\u7cfb/\u6797\u9053.fgb"}}</t>
  </si>
  <si>
    <t>{"PARAMETERS": {"2": "'E:/G\u7a7a\u9593\u60c5\u5831\u30bb\u30f3\u30bf\u30fc/19\u5c71\u68a8\u770c/62\u5bcc\u58eb\u5ddd\u4e0a\u6d41\u68ee\u6797\u8a08\u753b\u533a/\u7b2c8\u7cfb/\u4f5c\u696d\u9053.shp'", "crsjgd2000": "QgsCoordinateReferenceSystem('EPSG:2450')"}, "OUTPUTS": {"": "E:/G\u7a7a\u9593\u60c5\u5831\u30bb\u30f3\u30bf\u30fc/19\u5c71\u68a8\u770c/62\u5bcc\u58eb\u5ddd\u4e0a\u6d41\u68ee\u6797\u8a08\u753b\u533aTKY2JGD/\u7b2c8\u7cfb/\u4f5c\u696d\u9053.fgb"}}</t>
  </si>
  <si>
    <t>{"PARAMETERS": {"2": "'E:/G\u7a7a\u9593\u60c5\u5831\u30bb\u30f3\u30bf\u30fc/19\u5c71\u68a8\u770c/62\u5bcc\u58eb\u5ddd\u4e0a\u6d41\u68ee\u6797\u8a08\u753b\u533a/\u7b2c8\u7cfb/\u7b49\u9ad8\u7dda10m\u9593\u9694.shp'", "crsjgd2000": "QgsCoordinateReferenceSystem('EPSG:2450')"}, "OUTPUTS": {"": "E:/G\u7a7a\u9593\u60c5\u5831\u30bb\u30f3\u30bf\u30fc/19\u5c71\u68a8\u770c/62\u5bcc\u58eb\u5ddd\u4e0a\u6d41\u68ee\u6797\u8a08\u753b\u533aTKY2JGD/\u7b2c8\u7cfb/\u7b49\u9ad8\u7dda10m\u9593\u9694.fgb"}}</t>
  </si>
  <si>
    <t>{"PARAMETERS": {"2": "'E:/G\u7a7a\u9593\u60c5\u5831\u30bb\u30f3\u30bf\u30fc/19\u5c71\u68a8\u770c/63\u5bcc\u58eb\u5ddd\u4e2d\u6d41\u68ee\u6797\u8a08\u753b\u533a/\u7b2c8\u7cfb/\u5883\u754c.shp'", "crsjgd2000": "QgsCoordinateReferenceSystem('EPSG:2450')"}, "OUTPUTS": {"": "E:/G\u7a7a\u9593\u60c5\u5831\u30bb\u30f3\u30bf\u30fc/19\u5c71\u68a8\u770c/63\u5bcc\u58eb\u5ddd\u4e2d\u6d41\u68ee\u6797\u8a08\u753b\u533aTKY2JGD/\u7b2c8\u7cfb/\u5883\u754c.fgb"}}</t>
  </si>
  <si>
    <t>{"PARAMETERS": {"2": "'E:/G\u7a7a\u9593\u60c5\u5831\u30bb\u30f3\u30bf\u30fc/19\u5c71\u68a8\u770c/63\u5bcc\u58eb\u5ddd\u4e2d\u6d41\u68ee\u6797\u8a08\u753b\u533a/\u7b2c8\u7cfb/\u6797\u73ed\u754c.shp'", "crsjgd2000": "QgsCoordinateReferenceSystem('EPSG:2450')"}, "OUTPUTS": {"": "E:/G\u7a7a\u9593\u60c5\u5831\u30bb\u30f3\u30bf\u30fc/19\u5c71\u68a8\u770c/63\u5bcc\u58eb\u5ddd\u4e2d\u6d41\u68ee\u6797\u8a08\u753b\u533aTKY2JGD/\u7b2c8\u7cfb/\u6797\u73ed\u754c.fgb"}}</t>
  </si>
  <si>
    <t>{"PARAMETERS": {"2": "'E:/G\u7a7a\u9593\u60c5\u5831\u30bb\u30f3\u30bf\u30fc/19\u5c71\u68a8\u770c/63\u5bcc\u58eb\u5ddd\u4e2d\u6d41\u68ee\u6797\u8a08\u753b\u533a/\u7b2c8\u7cfb/\u6797\u73ed\u533a\u753b.shp'", "crsjgd2000": "QgsCoordinateReferenceSystem('EPSG:2450')"}, "OUTPUTS": {"": "E:/G\u7a7a\u9593\u60c5\u5831\u30bb\u30f3\u30bf\u30fc/19\u5c71\u68a8\u770c/63\u5bcc\u58eb\u5ddd\u4e2d\u6d41\u68ee\u6797\u8a08\u753b\u533aTKY2JGD/\u7b2c8\u7cfb/\u6797\u73ed\u533a\u753b.fgb"}}</t>
  </si>
  <si>
    <t>{"PARAMETERS": {"2": "'E:/G\u7a7a\u9593\u60c5\u5831\u30bb\u30f3\u30bf\u30fc/19\u5c71\u68a8\u770c/63\u5bcc\u58eb\u5ddd\u4e2d\u6d41\u68ee\u6797\u8a08\u753b\u533a/\u7b2c8\u7cfb/\u5c0f\u73ed\u754c.shp'", "crsjgd2000": "QgsCoordinateReferenceSystem('EPSG:2450')"}, "OUTPUTS": {"": "E:/G\u7a7a\u9593\u60c5\u5831\u30bb\u30f3\u30bf\u30fc/19\u5c71\u68a8\u770c/63\u5bcc\u58eb\u5ddd\u4e2d\u6d41\u68ee\u6797\u8a08\u753b\u533aTKY2JGD/\u7b2c8\u7cfb/\u5c0f\u73ed\u754c.fgb"}}</t>
  </si>
  <si>
    <t>{"PARAMETERS": {"2": "'E:/G\u7a7a\u9593\u60c5\u5831\u30bb\u30f3\u30bf\u30fc/19\u5c71\u68a8\u770c/63\u5bcc\u58eb\u5ddd\u4e2d\u6d41\u68ee\u6797\u8a08\u753b\u533a/\u7b2c8\u7cfb/\u5c0f\u73ed\u533a\u753b.shp'", "crsjgd2000": "QgsCoordinateReferenceSystem('EPSG:2450')"}, "OUTPUTS": {"": "E:/G\u7a7a\u9593\u60c5\u5831\u30bb\u30f3\u30bf\u30fc/19\u5c71\u68a8\u770c/63\u5bcc\u58eb\u5ddd\u4e2d\u6d41\u68ee\u6797\u8a08\u753b\u533aTKY2JGD/\u7b2c8\u7cfb/\u5c0f\u73ed\u533a\u753b.fgb"}}</t>
  </si>
  <si>
    <t>{"PARAMETERS": {"2": "'E:/G\u7a7a\u9593\u60c5\u5831\u30bb\u30f3\u30bf\u30fc/19\u5c71\u68a8\u770c/63\u5bcc\u58eb\u5ddd\u4e2d\u6d41\u68ee\u6797\u8a08\u753b\u533a/\u7b2c8\u7cfb/\u6797\u9053.shp'", "crsjgd2000": "QgsCoordinateReferenceSystem('EPSG:2450')"}, "OUTPUTS": {"": "E:/G\u7a7a\u9593\u60c5\u5831\u30bb\u30f3\u30bf\u30fc/19\u5c71\u68a8\u770c/63\u5bcc\u58eb\u5ddd\u4e2d\u6d41\u68ee\u6797\u8a08\u753b\u533aTKY2JGD/\u7b2c8\u7cfb/\u6797\u9053.fgb"}}</t>
  </si>
  <si>
    <t>{"PARAMETERS": {"2": "'E:/G\u7a7a\u9593\u60c5\u5831\u30bb\u30f3\u30bf\u30fc/19\u5c71\u68a8\u770c/63\u5bcc\u58eb\u5ddd\u4e2d\u6d41\u68ee\u6797\u8a08\u753b\u533a/\u7b2c8\u7cfb/\u4f5c\u696d\u9053.shp'", "crsjgd2000": "QgsCoordinateReferenceSystem('EPSG:2450')"}, "OUTPUTS": {"": "E:/G\u7a7a\u9593\u60c5\u5831\u30bb\u30f3\u30bf\u30fc/19\u5c71\u68a8\u770c/63\u5bcc\u58eb\u5ddd\u4e2d\u6d41\u68ee\u6797\u8a08\u753b\u533aTKY2JGD/\u7b2c8\u7cfb/\u4f5c\u696d\u9053.fgb"}}</t>
  </si>
  <si>
    <t>{"PARAMETERS": {"2": "'E:/G\u7a7a\u9593\u60c5\u5831\u30bb\u30f3\u30bf\u30fc/19\u5c71\u68a8\u770c/63\u5bcc\u58eb\u5ddd\u4e2d\u6d41\u68ee\u6797\u8a08\u753b\u533a/\u7b2c8\u7cfb/\u7b49\u9ad8\u7dda10m\u9593\u9694.shp'", "crsjgd2000": "QgsCoordinateReferenceSystem('EPSG:2450')"}, "OUTPUTS": {"": "E:/G\u7a7a\u9593\u60c5\u5831\u30bb\u30f3\u30bf\u30fc/19\u5c71\u68a8\u770c/63\u5bcc\u58eb\u5ddd\u4e2d\u6d41\u68ee\u6797\u8a08\u753b\u533aTKY2JGD/\u7b2c8\u7cfb/\u7b49\u9ad8\u7dda10m\u9593\u9694.fgb"}}</t>
  </si>
  <si>
    <t>{"PARAMETERS": {"2": "'E:/G\u7a7a\u9593\u60c5\u5831\u30bb\u30f3\u30bf\u30fc/20\u9577\u91ce\u770c/64\u5343\u66f2\u5ddd\u4e0b\u6d41\u68ee\u6797\u8a08\u753b\u533a/\u7b2c8\u7cfb/\u5883\u754c.shp'", "crsjgd2000": "QgsCoordinateReferenceSystem('EPSG:2450')"}, "OUTPUTS": {"": "E:/G\u7a7a\u9593\u60c5\u5831\u30bb\u30f3\u30bf\u30fc/20\u9577\u91ce\u770c/64\u5343\u66f2\u5ddd\u4e0b\u6d41\u68ee\u6797\u8a08\u753b\u533aTKY2JGD/\u7b2c8\u7cfb/\u5883\u754c.fgb"}}</t>
  </si>
  <si>
    <t>{"PARAMETERS": {"2": "'E:/G\u7a7a\u9593\u60c5\u5831\u30bb\u30f3\u30bf\u30fc/20\u9577\u91ce\u770c/64\u5343\u66f2\u5ddd\u4e0b\u6d41\u68ee\u6797\u8a08\u753b\u533a/\u7b2c8\u7cfb/\u6797\u73ed\u754c.shp'", "crsjgd2000": "QgsCoordinateReferenceSystem('EPSG:2450')"}, "OUTPUTS": {"": "E:/G\u7a7a\u9593\u60c5\u5831\u30bb\u30f3\u30bf\u30fc/20\u9577\u91ce\u770c/64\u5343\u66f2\u5ddd\u4e0b\u6d41\u68ee\u6797\u8a08\u753b\u533aTKY2JGD/\u7b2c8\u7cfb/\u6797\u73ed\u754c.fgb"}}</t>
  </si>
  <si>
    <t>{"PARAMETERS": {"2": "'E:/G\u7a7a\u9593\u60c5\u5831\u30bb\u30f3\u30bf\u30fc/20\u9577\u91ce\u770c/64\u5343\u66f2\u5ddd\u4e0b\u6d41\u68ee\u6797\u8a08\u753b\u533a/\u7b2c8\u7cfb/\u6797\u73ed\u533a\u753b.shp'", "crsjgd2000": "QgsCoordinateReferenceSystem('EPSG:2450')"}, "OUTPUTS": {"": "E:/G\u7a7a\u9593\u60c5\u5831\u30bb\u30f3\u30bf\u30fc/20\u9577\u91ce\u770c/64\u5343\u66f2\u5ddd\u4e0b\u6d41\u68ee\u6797\u8a08\u753b\u533aTKY2JGD/\u7b2c8\u7cfb/\u6797\u73ed\u533a\u753b.fgb"}}</t>
  </si>
  <si>
    <t>{"PARAMETERS": {"2": "'E:/G\u7a7a\u9593\u60c5\u5831\u30bb\u30f3\u30bf\u30fc/20\u9577\u91ce\u770c/64\u5343\u66f2\u5ddd\u4e0b\u6d41\u68ee\u6797\u8a08\u753b\u533a/\u7b2c8\u7cfb/\u5c0f\u73ed\u754c.shp'", "crsjgd2000": "QgsCoordinateReferenceSystem('EPSG:2450')"}, "OUTPUTS": {"": "E:/G\u7a7a\u9593\u60c5\u5831\u30bb\u30f3\u30bf\u30fc/20\u9577\u91ce\u770c/64\u5343\u66f2\u5ddd\u4e0b\u6d41\u68ee\u6797\u8a08\u753b\u533aTKY2JGD/\u7b2c8\u7cfb/\u5c0f\u73ed\u754c.fgb"}}</t>
  </si>
  <si>
    <t>{"PARAMETERS": {"2": "'E:/G\u7a7a\u9593\u60c5\u5831\u30bb\u30f3\u30bf\u30fc/20\u9577\u91ce\u770c/64\u5343\u66f2\u5ddd\u4e0b\u6d41\u68ee\u6797\u8a08\u753b\u533a/\u7b2c8\u7cfb/\u5c0f\u73ed\u533a\u753b.shp'", "crsjgd2000": "QgsCoordinateReferenceSystem('EPSG:2450')"}, "OUTPUTS": {"": "E:/G\u7a7a\u9593\u60c5\u5831\u30bb\u30f3\u30bf\u30fc/20\u9577\u91ce\u770c/64\u5343\u66f2\u5ddd\u4e0b\u6d41\u68ee\u6797\u8a08\u753b\u533aTKY2JGD/\u7b2c8\u7cfb/\u5c0f\u73ed\u533a\u753b.fgb"}}</t>
  </si>
  <si>
    <t>{"PARAMETERS": {"2": "'E:/G\u7a7a\u9593\u60c5\u5831\u30bb\u30f3\u30bf\u30fc/20\u9577\u91ce\u770c/64\u5343\u66f2\u5ddd\u4e0b\u6d41\u68ee\u6797\u8a08\u753b\u533a/\u7b2c8\u7cfb/\u6797\u9053.shp'", "crsjgd2000": "QgsCoordinateReferenceSystem('EPSG:2450')"}, "OUTPUTS": {"": "E:/G\u7a7a\u9593\u60c5\u5831\u30bb\u30f3\u30bf\u30fc/20\u9577\u91ce\u770c/64\u5343\u66f2\u5ddd\u4e0b\u6d41\u68ee\u6797\u8a08\u753b\u533aTKY2JGD/\u7b2c8\u7cfb/\u6797\u9053.fgb"}}</t>
  </si>
  <si>
    <t>{"PARAMETERS": {"2": "'E:/G\u7a7a\u9593\u60c5\u5831\u30bb\u30f3\u30bf\u30fc/20\u9577\u91ce\u770c/64\u5343\u66f2\u5ddd\u4e0b\u6d41\u68ee\u6797\u8a08\u753b\u533a/\u7b2c8\u7cfb/\u4f5c\u696d\u9053.shp'", "crsjgd2000": "QgsCoordinateReferenceSystem('EPSG:2450')"}, "OUTPUTS": {"": "E:/G\u7a7a\u9593\u60c5\u5831\u30bb\u30f3\u30bf\u30fc/20\u9577\u91ce\u770c/64\u5343\u66f2\u5ddd\u4e0b\u6d41\u68ee\u6797\u8a08\u753b\u533aTKY2JGD/\u7b2c8\u7cfb/\u4f5c\u696d\u9053.fgb"}}</t>
  </si>
  <si>
    <t>{"PARAMETERS": {"2": "'E:/G\u7a7a\u9593\u60c5\u5831\u30bb\u30f3\u30bf\u30fc/20\u9577\u91ce\u770c/64\u5343\u66f2\u5ddd\u4e0b\u6d41\u68ee\u6797\u8a08\u753b\u533a/\u7b2c8\u7cfb/\u7b49\u9ad8\u7dda10m\u9593\u9694.shp'", "crsjgd2000": "QgsCoordinateReferenceSystem('EPSG:2450')"}, "OUTPUTS": {"": "E:/G\u7a7a\u9593\u60c5\u5831\u30bb\u30f3\u30bf\u30fc/20\u9577\u91ce\u770c/64\u5343\u66f2\u5ddd\u4e0b\u6d41\u68ee\u6797\u8a08\u753b\u533aTKY2JGD/\u7b2c8\u7cfb/\u7b49\u9ad8\u7dda10m\u9593\u9694.fgb"}}</t>
  </si>
  <si>
    <t>{"PARAMETERS": {"2": "'E:/G\u7a7a\u9593\u60c5\u5831\u30bb\u30f3\u30bf\u30fc/20\u9577\u91ce\u770c/65\u4e2d\u90e8\u5c71\u5cb3\u68ee\u6797\u8a08\u753b\u533a/\u7b2c8\u7cfb/\u5883\u754c.shp'", "crsjgd2000": "QgsCoordinateReferenceSystem('EPSG:2450')"}, "OUTPUTS": {"": "E:/G\u7a7a\u9593\u60c5\u5831\u30bb\u30f3\u30bf\u30fc/20\u9577\u91ce\u770c/65\u4e2d\u90e8\u5c71\u5cb3\u68ee\u6797\u8a08\u753b\u533aTKY2JGD/\u7b2c8\u7cfb/\u5883\u754c.fgb"}}</t>
  </si>
  <si>
    <t>{"PARAMETERS": {"2": "'E:/G\u7a7a\u9593\u60c5\u5831\u30bb\u30f3\u30bf\u30fc/20\u9577\u91ce\u770c/65\u4e2d\u90e8\u5c71\u5cb3\u68ee\u6797\u8a08\u753b\u533a/\u7b2c8\u7cfb/\u6797\u73ed\u754c.shp'", "crsjgd2000": "QgsCoordinateReferenceSystem('EPSG:2450')"}, "OUTPUTS": {"": "E:/G\u7a7a\u9593\u60c5\u5831\u30bb\u30f3\u30bf\u30fc/20\u9577\u91ce\u770c/65\u4e2d\u90e8\u5c71\u5cb3\u68ee\u6797\u8a08\u753b\u533aTKY2JGD/\u7b2c8\u7cfb/\u6797\u73ed\u754c.fgb"}}</t>
  </si>
  <si>
    <t>{"PARAMETERS": {"2": "'E:/G\u7a7a\u9593\u60c5\u5831\u30bb\u30f3\u30bf\u30fc/20\u9577\u91ce\u770c/65\u4e2d\u90e8\u5c71\u5cb3\u68ee\u6797\u8a08\u753b\u533a/\u7b2c8\u7cfb/\u6797\u73ed\u533a\u753b.shp'", "crsjgd2000": "QgsCoordinateReferenceSystem('EPSG:2450')"}, "OUTPUTS": {"": "E:/G\u7a7a\u9593\u60c5\u5831\u30bb\u30f3\u30bf\u30fc/20\u9577\u91ce\u770c/65\u4e2d\u90e8\u5c71\u5cb3\u68ee\u6797\u8a08\u753b\u533aTKY2JGD/\u7b2c8\u7cfb/\u6797\u73ed\u533a\u753b.fgb"}}</t>
  </si>
  <si>
    <t>{"PARAMETERS": {"2": "'E:/G\u7a7a\u9593\u60c5\u5831\u30bb\u30f3\u30bf\u30fc/20\u9577\u91ce\u770c/65\u4e2d\u90e8\u5c71\u5cb3\u68ee\u6797\u8a08\u753b\u533a/\u7b2c8\u7cfb/\u5c0f\u73ed\u754c.shp'", "crsjgd2000": "QgsCoordinateReferenceSystem('EPSG:2450')"}, "OUTPUTS": {"": "E:/G\u7a7a\u9593\u60c5\u5831\u30bb\u30f3\u30bf\u30fc/20\u9577\u91ce\u770c/65\u4e2d\u90e8\u5c71\u5cb3\u68ee\u6797\u8a08\u753b\u533aTKY2JGD/\u7b2c8\u7cfb/\u5c0f\u73ed\u754c.fgb"}}</t>
  </si>
  <si>
    <t>{"PARAMETERS": {"2": "'E:/G\u7a7a\u9593\u60c5\u5831\u30bb\u30f3\u30bf\u30fc/20\u9577\u91ce\u770c/65\u4e2d\u90e8\u5c71\u5cb3\u68ee\u6797\u8a08\u753b\u533a/\u7b2c8\u7cfb/\u5c0f\u73ed\u533a\u753b.shp'", "crsjgd2000": "QgsCoordinateReferenceSystem('EPSG:2450')"}, "OUTPUTS": {"": "E:/G\u7a7a\u9593\u60c5\u5831\u30bb\u30f3\u30bf\u30fc/20\u9577\u91ce\u770c/65\u4e2d\u90e8\u5c71\u5cb3\u68ee\u6797\u8a08\u753b\u533aTKY2JGD/\u7b2c8\u7cfb/\u5c0f\u73ed\u533a\u753b.fgb"}}</t>
  </si>
  <si>
    <t>{"PARAMETERS": {"2": "'E:/G\u7a7a\u9593\u60c5\u5831\u30bb\u30f3\u30bf\u30fc/20\u9577\u91ce\u770c/65\u4e2d\u90e8\u5c71\u5cb3\u68ee\u6797\u8a08\u753b\u533a/\u7b2c8\u7cfb/\u6797\u9053.shp'", "crsjgd2000": "QgsCoordinateReferenceSystem('EPSG:2450')"}, "OUTPUTS": {"": "E:/G\u7a7a\u9593\u60c5\u5831\u30bb\u30f3\u30bf\u30fc/20\u9577\u91ce\u770c/65\u4e2d\u90e8\u5c71\u5cb3\u68ee\u6797\u8a08\u753b\u533aTKY2JGD/\u7b2c8\u7cfb/\u6797\u9053.fgb"}}</t>
  </si>
  <si>
    <t>{"PARAMETERS": {"2": "'E:/G\u7a7a\u9593\u60c5\u5831\u30bb\u30f3\u30bf\u30fc/20\u9577\u91ce\u770c/65\u4e2d\u90e8\u5c71\u5cb3\u68ee\u6797\u8a08\u753b\u533a/\u7b2c8\u7cfb/\u4f5c\u696d\u9053.shp'", "crsjgd2000": "QgsCoordinateReferenceSystem('EPSG:2450')"}, "OUTPUTS": {"": "E:/G\u7a7a\u9593\u60c5\u5831\u30bb\u30f3\u30bf\u30fc/20\u9577\u91ce\u770c/65\u4e2d\u90e8\u5c71\u5cb3\u68ee\u6797\u8a08\u753b\u533aTKY2JGD/\u7b2c8\u7cfb/\u4f5c\u696d\u9053.fgb"}}</t>
  </si>
  <si>
    <t>{"PARAMETERS": {"2": "'E:/G\u7a7a\u9593\u60c5\u5831\u30bb\u30f3\u30bf\u30fc/20\u9577\u91ce\u770c/65\u4e2d\u90e8\u5c71\u5cb3\u68ee\u6797\u8a08\u753b\u533a/\u7b2c8\u7cfb/\u7b49\u9ad8\u7dda10m\u9593\u9694.shp'", "crsjgd2000": "QgsCoordinateReferenceSystem('EPSG:2450')"}, "OUTPUTS": {"": "E:/G\u7a7a\u9593\u60c5\u5831\u30bb\u30f3\u30bf\u30fc/20\u9577\u91ce\u770c/65\u4e2d\u90e8\u5c71\u5cb3\u68ee\u6797\u8a08\u753b\u533aTKY2JGD/\u7b2c8\u7cfb/\u7b49\u9ad8\u7dda10m\u9593\u9694.fgb"}}</t>
  </si>
  <si>
    <t>{"PARAMETERS": {"2": "'E:/G\u7a7a\u9593\u60c5\u5831\u30bb\u30f3\u30bf\u30fc/20\u9577\u91ce\u770c/66\u5343\u66f2\u5ddd\u4e0a\u6d41\u68ee\u6797\u8a08\u753b\u533a/\u7b2c8\u7cfb/\u5883\u754c.shp'", "crsjgd2000": "QgsCoordinateReferenceSystem('EPSG:2450')"}, "OUTPUTS": {"": "E:/G\u7a7a\u9593\u60c5\u5831\u30bb\u30f3\u30bf\u30fc/20\u9577\u91ce\u770c/66\u5343\u66f2\u5ddd\u4e0a\u6d41\u68ee\u6797\u8a08\u753b\u533aTKY2JGD/\u7b2c8\u7cfb/\u5883\u754c.fgb"}}</t>
  </si>
  <si>
    <t>{"PARAMETERS": {"2": "'E:/G\u7a7a\u9593\u60c5\u5831\u30bb\u30f3\u30bf\u30fc/20\u9577\u91ce\u770c/66\u5343\u66f2\u5ddd\u4e0a\u6d41\u68ee\u6797\u8a08\u753b\u533a/\u7b2c8\u7cfb/\u6797\u73ed\u754c.shp'", "crsjgd2000": "QgsCoordinateReferenceSystem('EPSG:2450')"}, "OUTPUTS": {"": "E:/G\u7a7a\u9593\u60c5\u5831\u30bb\u30f3\u30bf\u30fc/20\u9577\u91ce\u770c/66\u5343\u66f2\u5ddd\u4e0a\u6d41\u68ee\u6797\u8a08\u753b\u533aTKY2JGD/\u7b2c8\u7cfb/\u6797\u73ed\u754c.fgb"}}</t>
  </si>
  <si>
    <t>{"PARAMETERS": {"2": "'E:/G\u7a7a\u9593\u60c5\u5831\u30bb\u30f3\u30bf\u30fc/20\u9577\u91ce\u770c/66\u5343\u66f2\u5ddd\u4e0a\u6d41\u68ee\u6797\u8a08\u753b\u533a/\u7b2c8\u7cfb/\u6797\u73ed\u533a\u753b.shp'", "crsjgd2000": "QgsCoordinateReferenceSystem('EPSG:2450')"}, "OUTPUTS": {"": "E:/G\u7a7a\u9593\u60c5\u5831\u30bb\u30f3\u30bf\u30fc/20\u9577\u91ce\u770c/66\u5343\u66f2\u5ddd\u4e0a\u6d41\u68ee\u6797\u8a08\u753b\u533aTKY2JGD/\u7b2c8\u7cfb/\u6797\u73ed\u533a\u753b.fgb"}}</t>
  </si>
  <si>
    <t>{"PARAMETERS": {"2": "'E:/G\u7a7a\u9593\u60c5\u5831\u30bb\u30f3\u30bf\u30fc/20\u9577\u91ce\u770c/66\u5343\u66f2\u5ddd\u4e0a\u6d41\u68ee\u6797\u8a08\u753b\u533a/\u7b2c8\u7cfb/\u5c0f\u73ed\u754c.shp'", "crsjgd2000": "QgsCoordinateReferenceSystem('EPSG:2450')"}, "OUTPUTS": {"": "E:/G\u7a7a\u9593\u60c5\u5831\u30bb\u30f3\u30bf\u30fc/20\u9577\u91ce\u770c/66\u5343\u66f2\u5ddd\u4e0a\u6d41\u68ee\u6797\u8a08\u753b\u533aTKY2JGD/\u7b2c8\u7cfb/\u5c0f\u73ed\u754c.fgb"}}</t>
  </si>
  <si>
    <t>{"PARAMETERS": {"2": "'E:/G\u7a7a\u9593\u60c5\u5831\u30bb\u30f3\u30bf\u30fc/20\u9577\u91ce\u770c/66\u5343\u66f2\u5ddd\u4e0a\u6d41\u68ee\u6797\u8a08\u753b\u533a/\u7b2c8\u7cfb/\u5c0f\u73ed\u533a\u753b.shp'", "crsjgd2000": "QgsCoordinateReferenceSystem('EPSG:2450')"}, "OUTPUTS": {"": "E:/G\u7a7a\u9593\u60c5\u5831\u30bb\u30f3\u30bf\u30fc/20\u9577\u91ce\u770c/66\u5343\u66f2\u5ddd\u4e0a\u6d41\u68ee\u6797\u8a08\u753b\u533aTKY2JGD/\u7b2c8\u7cfb/\u5c0f\u73ed\u533a\u753b.fgb"}}</t>
  </si>
  <si>
    <t>{"PARAMETERS": {"2": "'E:/G\u7a7a\u9593\u60c5\u5831\u30bb\u30f3\u30bf\u30fc/20\u9577\u91ce\u770c/66\u5343\u66f2\u5ddd\u4e0a\u6d41\u68ee\u6797\u8a08\u753b\u533a/\u7b2c8\u7cfb/\u6797\u9053.shp'", "crsjgd2000": "QgsCoordinateReferenceSystem('EPSG:2450')"}, "OUTPUTS": {"": "E:/G\u7a7a\u9593\u60c5\u5831\u30bb\u30f3\u30bf\u30fc/20\u9577\u91ce\u770c/66\u5343\u66f2\u5ddd\u4e0a\u6d41\u68ee\u6797\u8a08\u753b\u533aTKY2JGD/\u7b2c8\u7cfb/\u6797\u9053.fgb"}}</t>
  </si>
  <si>
    <t>{"PARAMETERS": {"2": "'E:/G\u7a7a\u9593\u60c5\u5831\u30bb\u30f3\u30bf\u30fc/20\u9577\u91ce\u770c/66\u5343\u66f2\u5ddd\u4e0a\u6d41\u68ee\u6797\u8a08\u753b\u533a/\u7b2c8\u7cfb/\u4f5c\u696d\u9053.shp'", "crsjgd2000": "QgsCoordinateReferenceSystem('EPSG:2450')"}, "OUTPUTS": {"": "E:/G\u7a7a\u9593\u60c5\u5831\u30bb\u30f3\u30bf\u30fc/20\u9577\u91ce\u770c/66\u5343\u66f2\u5ddd\u4e0a\u6d41\u68ee\u6797\u8a08\u753b\u533aTKY2JGD/\u7b2c8\u7cfb/\u4f5c\u696d\u9053.fgb"}}</t>
  </si>
  <si>
    <t>{"PARAMETERS": {"2": "'E:/G\u7a7a\u9593\u60c5\u5831\u30bb\u30f3\u30bf\u30fc/20\u9577\u91ce\u770c/66\u5343\u66f2\u5ddd\u4e0a\u6d41\u68ee\u6797\u8a08\u753b\u533a/\u7b2c8\u7cfb/\u7b49\u9ad8\u7dda10m\u9593\u9694.shp'", "crsjgd2000": "QgsCoordinateReferenceSystem('EPSG:2450')"}, "OUTPUTS": {"": "E:/G\u7a7a\u9593\u60c5\u5831\u30bb\u30f3\u30bf\u30fc/20\u9577\u91ce\u770c/66\u5343\u66f2\u5ddd\u4e0a\u6d41\u68ee\u6797\u8a08\u753b\u533aTKY2JGD/\u7b2c8\u7cfb/\u7b49\u9ad8\u7dda10m\u9593\u9694.fgb"}}</t>
  </si>
  <si>
    <t>{"PARAMETERS": {"2": "'E:/G\u7a7a\u9593\u60c5\u5831\u30bb\u30f3\u30bf\u30fc/20\u9577\u91ce\u770c/67\u4f0a\u90a3\u8c37\u68ee\u6797\u8a08\u753b\u533a/\u7b2c8\u7cfb/\u5883\u754c.shp'", "crsjgd2000": "QgsCoordinateReferenceSystem('EPSG:2450')"}, "OUTPUTS": {"": "E:/G\u7a7a\u9593\u60c5\u5831\u30bb\u30f3\u30bf\u30fc/20\u9577\u91ce\u770c/67\u4f0a\u90a3\u8c37\u68ee\u6797\u8a08\u753b\u533aTKY2JGD/\u7b2c8\u7cfb/\u5883\u754c.fgb"}}</t>
  </si>
  <si>
    <t>{"PARAMETERS": {"2": "'E:/G\u7a7a\u9593\u60c5\u5831\u30bb\u30f3\u30bf\u30fc/20\u9577\u91ce\u770c/67\u4f0a\u90a3\u8c37\u68ee\u6797\u8a08\u753b\u533a/\u7b2c8\u7cfb/\u6797\u73ed\u754c.shp'", "crsjgd2000": "QgsCoordinateReferenceSystem('EPSG:2450')"}, "OUTPUTS": {"": "E:/G\u7a7a\u9593\u60c5\u5831\u30bb\u30f3\u30bf\u30fc/20\u9577\u91ce\u770c/67\u4f0a\u90a3\u8c37\u68ee\u6797\u8a08\u753b\u533aTKY2JGD/\u7b2c8\u7cfb/\u6797\u73ed\u754c.fgb"}}</t>
  </si>
  <si>
    <t>{"PARAMETERS": {"2": "'E:/G\u7a7a\u9593\u60c5\u5831\u30bb\u30f3\u30bf\u30fc/20\u9577\u91ce\u770c/67\u4f0a\u90a3\u8c37\u68ee\u6797\u8a08\u753b\u533a/\u7b2c8\u7cfb/\u6797\u73ed\u533a\u753b.shp'", "crsjgd2000": "QgsCoordinateReferenceSystem('EPSG:2450')"}, "OUTPUTS": {"": "E:/G\u7a7a\u9593\u60c5\u5831\u30bb\u30f3\u30bf\u30fc/20\u9577\u91ce\u770c/67\u4f0a\u90a3\u8c37\u68ee\u6797\u8a08\u753b\u533aTKY2JGD/\u7b2c8\u7cfb/\u6797\u73ed\u533a\u753b.fgb"}}</t>
  </si>
  <si>
    <t>{"PARAMETERS": {"2": "'E:/G\u7a7a\u9593\u60c5\u5831\u30bb\u30f3\u30bf\u30fc/20\u9577\u91ce\u770c/67\u4f0a\u90a3\u8c37\u68ee\u6797\u8a08\u753b\u533a/\u7b2c8\u7cfb/\u5c0f\u73ed\u754c.shp'", "crsjgd2000": "QgsCoordinateReferenceSystem('EPSG:2450')"}, "OUTPUTS": {"": "E:/G\u7a7a\u9593\u60c5\u5831\u30bb\u30f3\u30bf\u30fc/20\u9577\u91ce\u770c/67\u4f0a\u90a3\u8c37\u68ee\u6797\u8a08\u753b\u533aTKY2JGD/\u7b2c8\u7cfb/\u5c0f\u73ed\u754c.fgb"}}</t>
  </si>
  <si>
    <t>{"PARAMETERS": {"2": "'E:/G\u7a7a\u9593\u60c5\u5831\u30bb\u30f3\u30bf\u30fc/20\u9577\u91ce\u770c/67\u4f0a\u90a3\u8c37\u68ee\u6797\u8a08\u753b\u533a/\u7b2c8\u7cfb/\u5c0f\u73ed\u533a\u753b.shp'", "crsjgd2000": "QgsCoordinateReferenceSystem('EPSG:2450')"}, "OUTPUTS": {"": "E:/G\u7a7a\u9593\u60c5\u5831\u30bb\u30f3\u30bf\u30fc/20\u9577\u91ce\u770c/67\u4f0a\u90a3\u8c37\u68ee\u6797\u8a08\u753b\u533aTKY2JGD/\u7b2c8\u7cfb/\u5c0f\u73ed\u533a\u753b.fgb"}}</t>
  </si>
  <si>
    <t>{"PARAMETERS": {"2": "'E:/G\u7a7a\u9593\u60c5\u5831\u30bb\u30f3\u30bf\u30fc/20\u9577\u91ce\u770c/67\u4f0a\u90a3\u8c37\u68ee\u6797\u8a08\u753b\u533a/\u7b2c8\u7cfb/\u6797\u9053.shp'", "crsjgd2000": "QgsCoordinateReferenceSystem('EPSG:2450')"}, "OUTPUTS": {"": "E:/G\u7a7a\u9593\u60c5\u5831\u30bb\u30f3\u30bf\u30fc/20\u9577\u91ce\u770c/67\u4f0a\u90a3\u8c37\u68ee\u6797\u8a08\u753b\u533aTKY2JGD/\u7b2c8\u7cfb/\u6797\u9053.fgb"}}</t>
  </si>
  <si>
    <t>{"PARAMETERS": {"2": "'E:/G\u7a7a\u9593\u60c5\u5831\u30bb\u30f3\u30bf\u30fc/20\u9577\u91ce\u770c/67\u4f0a\u90a3\u8c37\u68ee\u6797\u8a08\u753b\u533a/\u7b2c8\u7cfb/\u4f5c\u696d\u9053.shp'", "crsjgd2000": "QgsCoordinateReferenceSystem('EPSG:2450')"}, "OUTPUTS": {"": "E:/G\u7a7a\u9593\u60c5\u5831\u30bb\u30f3\u30bf\u30fc/20\u9577\u91ce\u770c/67\u4f0a\u90a3\u8c37\u68ee\u6797\u8a08\u753b\u533aTKY2JGD/\u7b2c8\u7cfb/\u4f5c\u696d\u9053.fgb"}}</t>
  </si>
  <si>
    <t>{"PARAMETERS": {"2": "'E:/G\u7a7a\u9593\u60c5\u5831\u30bb\u30f3\u30bf\u30fc/20\u9577\u91ce\u770c/67\u4f0a\u90a3\u8c37\u68ee\u6797\u8a08\u753b\u533a/\u7b2c8\u7cfb/\u7b49\u9ad8\u7dda10m\u9593\u9694.shp'", "crsjgd2000": "QgsCoordinateReferenceSystem('EPSG:2450')"}, "OUTPUTS": {"": "E:/G\u7a7a\u9593\u60c5\u5831\u30bb\u30f3\u30bf\u30fc/20\u9577\u91ce\u770c/67\u4f0a\u90a3\u8c37\u68ee\u6797\u8a08\u753b\u533aTKY2JGD/\u7b2c8\u7cfb/\u7b49\u9ad8\u7dda10m\u9593\u9694.fgb"}}</t>
  </si>
  <si>
    <t>{"PARAMETERS": {"2": "'E:/G\u7a7a\u9593\u60c5\u5831\u30bb\u30f3\u30bf\u30fc/20\u9577\u91ce\u770c/68\u6728\u66fd\u8c37\u68ee\u6797\u8a08\u753b\u533a/\u7b2c8\u7cfb/\u5883\u754c.shp'", "crsjgd2000": "QgsCoordinateReferenceSystem('EPSG:2450')"}, "OUTPUTS": {"": "E:/G\u7a7a\u9593\u60c5\u5831\u30bb\u30f3\u30bf\u30fc/20\u9577\u91ce\u770c/68\u6728\u66fd\u8c37\u68ee\u6797\u8a08\u753b\u533aTKY2JGD/\u7b2c8\u7cfb/\u5883\u754c.fgb"}}</t>
  </si>
  <si>
    <t>{"PARAMETERS": {"2": "'E:/G\u7a7a\u9593\u60c5\u5831\u30bb\u30f3\u30bf\u30fc/20\u9577\u91ce\u770c/68\u6728\u66fd\u8c37\u68ee\u6797\u8a08\u753b\u533a/\u7b2c8\u7cfb/\u6797\u73ed\u754c.shp'", "crsjgd2000": "QgsCoordinateReferenceSystem('EPSG:2450')"}, "OUTPUTS": {"": "E:/G\u7a7a\u9593\u60c5\u5831\u30bb\u30f3\u30bf\u30fc/20\u9577\u91ce\u770c/68\u6728\u66fd\u8c37\u68ee\u6797\u8a08\u753b\u533aTKY2JGD/\u7b2c8\u7cfb/\u6797\u73ed\u754c.fgb"}}</t>
  </si>
  <si>
    <t>{"PARAMETERS": {"2": "'E:/G\u7a7a\u9593\u60c5\u5831\u30bb\u30f3\u30bf\u30fc/20\u9577\u91ce\u770c/68\u6728\u66fd\u8c37\u68ee\u6797\u8a08\u753b\u533a/\u7b2c8\u7cfb/\u6797\u73ed\u533a\u753b.shp'", "crsjgd2000": "QgsCoordinateReferenceSystem('EPSG:2450')"}, "OUTPUTS": {"": "E:/G\u7a7a\u9593\u60c5\u5831\u30bb\u30f3\u30bf\u30fc/20\u9577\u91ce\u770c/68\u6728\u66fd\u8c37\u68ee\u6797\u8a08\u753b\u533aTKY2JGD/\u7b2c8\u7cfb/\u6797\u73ed\u533a\u753b.fgb"}}</t>
  </si>
  <si>
    <t>{"PARAMETERS": {"2": "'E:/G\u7a7a\u9593\u60c5\u5831\u30bb\u30f3\u30bf\u30fc/20\u9577\u91ce\u770c/68\u6728\u66fd\u8c37\u68ee\u6797\u8a08\u753b\u533a/\u7b2c8\u7cfb/\u5c0f\u73ed\u754c.shp'", "crsjgd2000": "QgsCoordinateReferenceSystem('EPSG:2450')"}, "OUTPUTS": {"": "E:/G\u7a7a\u9593\u60c5\u5831\u30bb\u30f3\u30bf\u30fc/20\u9577\u91ce\u770c/68\u6728\u66fd\u8c37\u68ee\u6797\u8a08\u753b\u533aTKY2JGD/\u7b2c8\u7cfb/\u5c0f\u73ed\u754c.fgb"}}</t>
  </si>
  <si>
    <t>{"PARAMETERS": {"2": "'E:/G\u7a7a\u9593\u60c5\u5831\u30bb\u30f3\u30bf\u30fc/20\u9577\u91ce\u770c/68\u6728\u66fd\u8c37\u68ee\u6797\u8a08\u753b\u533a/\u7b2c8\u7cfb/\u5c0f\u73ed\u533a\u753b.shp'", "crsjgd2000": "QgsCoordinateReferenceSystem('EPSG:2450')"}, "OUTPUTS": {"": "E:/G\u7a7a\u9593\u60c5\u5831\u30bb\u30f3\u30bf\u30fc/20\u9577\u91ce\u770c/68\u6728\u66fd\u8c37\u68ee\u6797\u8a08\u753b\u533aTKY2JGD/\u7b2c8\u7cfb/\u5c0f\u73ed\u533a\u753b.fgb"}}</t>
  </si>
  <si>
    <t>{"PARAMETERS": {"2": "'E:/G\u7a7a\u9593\u60c5\u5831\u30bb\u30f3\u30bf\u30fc/20\u9577\u91ce\u770c/68\u6728\u66fd\u8c37\u68ee\u6797\u8a08\u753b\u533a/\u7b2c8\u7cfb/\u6797\u9053.shp'", "crsjgd2000": "QgsCoordinateReferenceSystem('EPSG:2450')"}, "OUTPUTS": {"": "E:/G\u7a7a\u9593\u60c5\u5831\u30bb\u30f3\u30bf\u30fc/20\u9577\u91ce\u770c/68\u6728\u66fd\u8c37\u68ee\u6797\u8a08\u753b\u533aTKY2JGD/\u7b2c8\u7cfb/\u6797\u9053.fgb"}}</t>
  </si>
  <si>
    <t>{"PARAMETERS": {"2": "'E:/G\u7a7a\u9593\u60c5\u5831\u30bb\u30f3\u30bf\u30fc/20\u9577\u91ce\u770c/68\u6728\u66fd\u8c37\u68ee\u6797\u8a08\u753b\u533a/\u7b2c8\u7cfb/\u4f5c\u696d\u9053.shp'", "crsjgd2000": "QgsCoordinateReferenceSystem('EPSG:2450')"}, "OUTPUTS": {"": "E:/G\u7a7a\u9593\u60c5\u5831\u30bb\u30f3\u30bf\u30fc/20\u9577\u91ce\u770c/68\u6728\u66fd\u8c37\u68ee\u6797\u8a08\u753b\u533aTKY2JGD/\u7b2c8\u7cfb/\u4f5c\u696d\u9053.fgb"}}</t>
  </si>
  <si>
    <t>{"PARAMETERS": {"2": "'E:/G\u7a7a\u9593\u60c5\u5831\u30bb\u30f3\u30bf\u30fc/20\u9577\u91ce\u770c/68\u6728\u66fd\u8c37\u68ee\u6797\u8a08\u753b\u533a/\u7b2c8\u7cfb/\u7b49\u9ad8\u7dda10m\u9593\u9694.shp'", "crsjgd2000": "QgsCoordinateReferenceSystem('EPSG:2450')"}, "OUTPUTS": {"": "E:/G\u7a7a\u9593\u60c5\u5831\u30bb\u30f3\u30bf\u30fc/20\u9577\u91ce\u770c/68\u6728\u66fd\u8c37\u68ee\u6797\u8a08\u753b\u533aTKY2JGD/\u7b2c8\u7cfb/\u7b49\u9ad8\u7dda10m\u9593\u9694.fgb"}}</t>
  </si>
  <si>
    <t>{"PARAMETERS": {"2": "'E:/G\u7a7a\u9593\u60c5\u5831\u30bb\u30f3\u30bf\u30fc/21\u5c90\u961c\u770c/69\u5bae\u30fb\u5e84\u5ddd\u68ee\u6797\u8a08\u753b\u533a/\u7b2c7\u7cfb/\u5883\u754c.shp'", "crsjgd2000": "QgsCoordinateReferenceSystem('EPSG:2449')"}, "OUTPUTS": {"": "E:/G\u7a7a\u9593\u60c5\u5831\u30bb\u30f3\u30bf\u30fc/21\u5c90\u961c\u770c/69\u5bae\u30fb\u5e84\u5ddd\u68ee\u6797\u8a08\u753b\u533aTKY2JGD/\u7b2c7\u7cfb/\u5883\u754c.fgb"}}</t>
  </si>
  <si>
    <t>{"PARAMETERS": {"2": "'E:/G\u7a7a\u9593\u60c5\u5831\u30bb\u30f3\u30bf\u30fc/21\u5c90\u961c\u770c/69\u5bae\u30fb\u5e84\u5ddd\u68ee\u6797\u8a08\u753b\u533a/\u7b2c7\u7cfb/\u6797\u73ed\u754c.shp'", "crsjgd2000": "QgsCoordinateReferenceSystem('EPSG:2449')"}, "OUTPUTS": {"": "E:/G\u7a7a\u9593\u60c5\u5831\u30bb\u30f3\u30bf\u30fc/21\u5c90\u961c\u770c/69\u5bae\u30fb\u5e84\u5ddd\u68ee\u6797\u8a08\u753b\u533aTKY2JGD/\u7b2c7\u7cfb/\u6797\u73ed\u754c.fgb"}}</t>
  </si>
  <si>
    <t>{"PARAMETERS": {"2": "'E:/G\u7a7a\u9593\u60c5\u5831\u30bb\u30f3\u30bf\u30fc/21\u5c90\u961c\u770c/69\u5bae\u30fb\u5e84\u5ddd\u68ee\u6797\u8a08\u753b\u533a/\u7b2c7\u7cfb/\u6797\u73ed\u533a\u753b.shp'", "crsjgd2000": "QgsCoordinateReferenceSystem('EPSG:2449')"}, "OUTPUTS": {"": "E:/G\u7a7a\u9593\u60c5\u5831\u30bb\u30f3\u30bf\u30fc/21\u5c90\u961c\u770c/69\u5bae\u30fb\u5e84\u5ddd\u68ee\u6797\u8a08\u753b\u533aTKY2JGD/\u7b2c7\u7cfb/\u6797\u73ed\u533a\u753b.fgb"}}</t>
  </si>
  <si>
    <t>{"PARAMETERS": {"2": "'E:/G\u7a7a\u9593\u60c5\u5831\u30bb\u30f3\u30bf\u30fc/21\u5c90\u961c\u770c/69\u5bae\u30fb\u5e84\u5ddd\u68ee\u6797\u8a08\u753b\u533a/\u7b2c7\u7cfb/\u5c0f\u73ed\u754c.shp'", "crsjgd2000": "QgsCoordinateReferenceSystem('EPSG:2449')"}, "OUTPUTS": {"": "E:/G\u7a7a\u9593\u60c5\u5831\u30bb\u30f3\u30bf\u30fc/21\u5c90\u961c\u770c/69\u5bae\u30fb\u5e84\u5ddd\u68ee\u6797\u8a08\u753b\u533aTKY2JGD/\u7b2c7\u7cfb/\u5c0f\u73ed\u754c.fgb"}}</t>
  </si>
  <si>
    <t>{"PARAMETERS": {"2": "'E:/G\u7a7a\u9593\u60c5\u5831\u30bb\u30f3\u30bf\u30fc/21\u5c90\u961c\u770c/69\u5bae\u30fb\u5e84\u5ddd\u68ee\u6797\u8a08\u753b\u533a/\u7b2c7\u7cfb/\u5c0f\u73ed\u533a\u753b.shp'", "crsjgd2000": "QgsCoordinateReferenceSystem('EPSG:2449')"}, "OUTPUTS": {"": "E:/G\u7a7a\u9593\u60c5\u5831\u30bb\u30f3\u30bf\u30fc/21\u5c90\u961c\u770c/69\u5bae\u30fb\u5e84\u5ddd\u68ee\u6797\u8a08\u753b\u533aTKY2JGD/\u7b2c7\u7cfb/\u5c0f\u73ed\u533a\u753b.fgb"}}</t>
  </si>
  <si>
    <t>{"PARAMETERS": {"2": "'E:/G\u7a7a\u9593\u60c5\u5831\u30bb\u30f3\u30bf\u30fc/21\u5c90\u961c\u770c/69\u5bae\u30fb\u5e84\u5ddd\u68ee\u6797\u8a08\u753b\u533a/\u7b2c7\u7cfb/\u6797\u9053.shp'", "crsjgd2000": "QgsCoordinateReferenceSystem('EPSG:2449')"}, "OUTPUTS": {"": "E:/G\u7a7a\u9593\u60c5\u5831\u30bb\u30f3\u30bf\u30fc/21\u5c90\u961c\u770c/69\u5bae\u30fb\u5e84\u5ddd\u68ee\u6797\u8a08\u753b\u533aTKY2JGD/\u7b2c7\u7cfb/\u6797\u9053.fgb"}}</t>
  </si>
  <si>
    <t>{"PARAMETERS": {"2": "'E:/G\u7a7a\u9593\u60c5\u5831\u30bb\u30f3\u30bf\u30fc/21\u5c90\u961c\u770c/69\u5bae\u30fb\u5e84\u5ddd\u68ee\u6797\u8a08\u753b\u533a/\u7b2c7\u7cfb/\u4f5c\u696d\u9053.shp'", "crsjgd2000": "QgsCoordinateReferenceSystem('EPSG:2449')"}, "OUTPUTS": {"": "E:/G\u7a7a\u9593\u60c5\u5831\u30bb\u30f3\u30bf\u30fc/21\u5c90\u961c\u770c/69\u5bae\u30fb\u5e84\u5ddd\u68ee\u6797\u8a08\u753b\u533aTKY2JGD/\u7b2c7\u7cfb/\u4f5c\u696d\u9053.fgb"}}</t>
  </si>
  <si>
    <t>{"PARAMETERS": {"2": "'E:/G\u7a7a\u9593\u60c5\u5831\u30bb\u30f3\u30bf\u30fc/21\u5c90\u961c\u770c/69\u5bae\u30fb\u5e84\u5ddd\u68ee\u6797\u8a08\u753b\u533a/\u7b2c7\u7cfb/\u7b49\u9ad8\u7dda10m\u9593\u9694.shp'", "crsjgd2000": "QgsCoordinateReferenceSystem('EPSG:2449')"}, "OUTPUTS": {"": "E:/G\u7a7a\u9593\u60c5\u5831\u30bb\u30f3\u30bf\u30fc/21\u5c90\u961c\u770c/69\u5bae\u30fb\u5e84\u5ddd\u68ee\u6797\u8a08\u753b\u533aTKY2JGD/\u7b2c7\u7cfb/\u7b49\u9ad8\u7dda10m\u9593\u9694.fgb"}}</t>
  </si>
  <si>
    <t>{"PARAMETERS": {"2": "'E:/G\u7a7a\u9593\u60c5\u5831\u30bb\u30f3\u30bf\u30fc/21\u5c90\u961c\u770c/70\u98db\u9a28\u5ddd\u68ee\u6797\u8a08\u753b\u533a/\u7b2c7\u7cfb/\u5883\u754c.shp'", "crsjgd2000": "QgsCoordinateReferenceSystem('EPSG:2449')"}, "OUTPUTS": {"": "E:/G\u7a7a\u9593\u60c5\u5831\u30bb\u30f3\u30bf\u30fc/21\u5c90\u961c\u770c/70\u98db\u9a28\u5ddd\u68ee\u6797\u8a08\u753b\u533aTKY2JGD/\u7b2c7\u7cfb/\u5883\u754c.fgb"}}</t>
  </si>
  <si>
    <t>{"PARAMETERS": {"2": "'E:/G\u7a7a\u9593\u60c5\u5831\u30bb\u30f3\u30bf\u30fc/21\u5c90\u961c\u770c/70\u98db\u9a28\u5ddd\u68ee\u6797\u8a08\u753b\u533a/\u7b2c7\u7cfb/\u6797\u73ed\u754c.shp'", "crsjgd2000": "QgsCoordinateReferenceSystem('EPSG:2449')"}, "OUTPUTS": {"": "E:/G\u7a7a\u9593\u60c5\u5831\u30bb\u30f3\u30bf\u30fc/21\u5c90\u961c\u770c/70\u98db\u9a28\u5ddd\u68ee\u6797\u8a08\u753b\u533aTKY2JGD/\u7b2c7\u7cfb/\u6797\u73ed\u754c.fgb"}}</t>
  </si>
  <si>
    <t>{"PARAMETERS": {"2": "'E:/G\u7a7a\u9593\u60c5\u5831\u30bb\u30f3\u30bf\u30fc/21\u5c90\u961c\u770c/70\u98db\u9a28\u5ddd\u68ee\u6797\u8a08\u753b\u533a/\u7b2c7\u7cfb/\u6797\u73ed\u533a\u753b.shp'", "crsjgd2000": "QgsCoordinateReferenceSystem('EPSG:2449')"}, "OUTPUTS": {"": "E:/G\u7a7a\u9593\u60c5\u5831\u30bb\u30f3\u30bf\u30fc/21\u5c90\u961c\u770c/70\u98db\u9a28\u5ddd\u68ee\u6797\u8a08\u753b\u533aTKY2JGD/\u7b2c7\u7cfb/\u6797\u73ed\u533a\u753b.fgb"}}</t>
  </si>
  <si>
    <t>{"PARAMETERS": {"2": "'E:/G\u7a7a\u9593\u60c5\u5831\u30bb\u30f3\u30bf\u30fc/21\u5c90\u961c\u770c/70\u98db\u9a28\u5ddd\u68ee\u6797\u8a08\u753b\u533a/\u7b2c7\u7cfb/\u5c0f\u73ed\u754c.shp'", "crsjgd2000": "QgsCoordinateReferenceSystem('EPSG:2449')"}, "OUTPUTS": {"": "E:/G\u7a7a\u9593\u60c5\u5831\u30bb\u30f3\u30bf\u30fc/21\u5c90\u961c\u770c/70\u98db\u9a28\u5ddd\u68ee\u6797\u8a08\u753b\u533aTKY2JGD/\u7b2c7\u7cfb/\u5c0f\u73ed\u754c.fgb"}}</t>
  </si>
  <si>
    <t>{"PARAMETERS": {"2": "'E:/G\u7a7a\u9593\u60c5\u5831\u30bb\u30f3\u30bf\u30fc/21\u5c90\u961c\u770c/70\u98db\u9a28\u5ddd\u68ee\u6797\u8a08\u753b\u533a/\u7b2c7\u7cfb/\u5c0f\u73ed\u533a\u753b.shp'", "crsjgd2000": "QgsCoordinateReferenceSystem('EPSG:2449')"}, "OUTPUTS": {"": "E:/G\u7a7a\u9593\u60c5\u5831\u30bb\u30f3\u30bf\u30fc/21\u5c90\u961c\u770c/70\u98db\u9a28\u5ddd\u68ee\u6797\u8a08\u753b\u533aTKY2JGD/\u7b2c7\u7cfb/\u5c0f\u73ed\u533a\u753b.fgb"}}</t>
  </si>
  <si>
    <t>{"PARAMETERS": {"2": "'E:/G\u7a7a\u9593\u60c5\u5831\u30bb\u30f3\u30bf\u30fc/21\u5c90\u961c\u770c/70\u98db\u9a28\u5ddd\u68ee\u6797\u8a08\u753b\u533a/\u7b2c7\u7cfb/\u6797\u9053.shp'", "crsjgd2000": "QgsCoordinateReferenceSystem('EPSG:2449')"}, "OUTPUTS": {"": "E:/G\u7a7a\u9593\u60c5\u5831\u30bb\u30f3\u30bf\u30fc/21\u5c90\u961c\u770c/70\u98db\u9a28\u5ddd\u68ee\u6797\u8a08\u753b\u533aTKY2JGD/\u7b2c7\u7cfb/\u6797\u9053.fgb"}}</t>
  </si>
  <si>
    <t>{"PARAMETERS": {"2": "'E:/G\u7a7a\u9593\u60c5\u5831\u30bb\u30f3\u30bf\u30fc/21\u5c90\u961c\u770c/70\u98db\u9a28\u5ddd\u68ee\u6797\u8a08\u753b\u533a/\u7b2c7\u7cfb/\u4f5c\u696d\u9053.shp'", "crsjgd2000": "QgsCoordinateReferenceSystem('EPSG:2449')"}, "OUTPUTS": {"": "E:/G\u7a7a\u9593\u60c5\u5831\u30bb\u30f3\u30bf\u30fc/21\u5c90\u961c\u770c/70\u98db\u9a28\u5ddd\u68ee\u6797\u8a08\u753b\u533aTKY2JGD/\u7b2c7\u7cfb/\u4f5c\u696d\u9053.fgb"}}</t>
  </si>
  <si>
    <t>{"PARAMETERS": {"2": "'E:/G\u7a7a\u9593\u60c5\u5831\u30bb\u30f3\u30bf\u30fc/21\u5c90\u961c\u770c/70\u98db\u9a28\u5ddd\u68ee\u6797\u8a08\u753b\u533a/\u7b2c7\u7cfb/\u7b49\u9ad8\u7dda10m\u9593\u9694.shp'", "crsjgd2000": "QgsCoordinateReferenceSystem('EPSG:2449')"}, "OUTPUTS": {"": "E:/G\u7a7a\u9593\u60c5\u5831\u30bb\u30f3\u30bf\u30fc/21\u5c90\u961c\u770c/70\u98db\u9a28\u5ddd\u68ee\u6797\u8a08\u753b\u533aTKY2JGD/\u7b2c7\u7cfb/\u7b49\u9ad8\u7dda10m\u9593\u9694.fgb"}}</t>
  </si>
  <si>
    <t>{"PARAMETERS": {"2": "'E:/G\u7a7a\u9593\u60c5\u5831\u30bb\u30f3\u30bf\u30fc/21\u5c90\u961c\u770c/71\u9577\u826f\u5ddd\u68ee\u6797\u8a08\u753b\u533a/\u7b2c7\u7cfb/\u5883\u754c.shp'", "crsjgd2000": "QgsCoordinateReferenceSystem('EPSG:2449')"}, "OUTPUTS": {"": "E:/G\u7a7a\u9593\u60c5\u5831\u30bb\u30f3\u30bf\u30fc/21\u5c90\u961c\u770c/71\u9577\u826f\u5ddd\u68ee\u6797\u8a08\u753b\u533aTKY2JGD/\u7b2c7\u7cfb/\u5883\u754c.fgb"}}</t>
  </si>
  <si>
    <t>{"PARAMETERS": {"2": "'E:/G\u7a7a\u9593\u60c5\u5831\u30bb\u30f3\u30bf\u30fc/21\u5c90\u961c\u770c/71\u9577\u826f\u5ddd\u68ee\u6797\u8a08\u753b\u533a/\u7b2c7\u7cfb/\u6797\u73ed\u754c.shp'", "crsjgd2000": "QgsCoordinateReferenceSystem('EPSG:2449')"}, "OUTPUTS": {"": "E:/G\u7a7a\u9593\u60c5\u5831\u30bb\u30f3\u30bf\u30fc/21\u5c90\u961c\u770c/71\u9577\u826f\u5ddd\u68ee\u6797\u8a08\u753b\u533aTKY2JGD/\u7b2c7\u7cfb/\u6797\u73ed\u754c.fgb"}}</t>
  </si>
  <si>
    <t>{"PARAMETERS": {"2": "'E:/G\u7a7a\u9593\u60c5\u5831\u30bb\u30f3\u30bf\u30fc/21\u5c90\u961c\u770c/71\u9577\u826f\u5ddd\u68ee\u6797\u8a08\u753b\u533a/\u7b2c7\u7cfb/\u6797\u73ed\u533a\u753b.shp'", "crsjgd2000": "QgsCoordinateReferenceSystem('EPSG:2449')"}, "OUTPUTS": {"": "E:/G\u7a7a\u9593\u60c5\u5831\u30bb\u30f3\u30bf\u30fc/21\u5c90\u961c\u770c/71\u9577\u826f\u5ddd\u68ee\u6797\u8a08\u753b\u533aTKY2JGD/\u7b2c7\u7cfb/\u6797\u73ed\u533a\u753b.fgb"}}</t>
  </si>
  <si>
    <t>{"PARAMETERS": {"2": "'E:/G\u7a7a\u9593\u60c5\u5831\u30bb\u30f3\u30bf\u30fc/21\u5c90\u961c\u770c/71\u9577\u826f\u5ddd\u68ee\u6797\u8a08\u753b\u533a/\u7b2c7\u7cfb/\u5c0f\u73ed\u754c.shp'", "crsjgd2000": "QgsCoordinateReferenceSystem('EPSG:2449')"}, "OUTPUTS": {"": "E:/G\u7a7a\u9593\u60c5\u5831\u30bb\u30f3\u30bf\u30fc/21\u5c90\u961c\u770c/71\u9577\u826f\u5ddd\u68ee\u6797\u8a08\u753b\u533aTKY2JGD/\u7b2c7\u7cfb/\u5c0f\u73ed\u754c.fgb"}}</t>
  </si>
  <si>
    <t>{"PARAMETERS": {"2": "'E:/G\u7a7a\u9593\u60c5\u5831\u30bb\u30f3\u30bf\u30fc/21\u5c90\u961c\u770c/71\u9577\u826f\u5ddd\u68ee\u6797\u8a08\u753b\u533a/\u7b2c7\u7cfb/\u5c0f\u73ed\u533a\u753b.shp'", "crsjgd2000": "QgsCoordinateReferenceSystem('EPSG:2449')"}, "OUTPUTS": {"": "E:/G\u7a7a\u9593\u60c5\u5831\u30bb\u30f3\u30bf\u30fc/21\u5c90\u961c\u770c/71\u9577\u826f\u5ddd\u68ee\u6797\u8a08\u753b\u533aTKY2JGD/\u7b2c7\u7cfb/\u5c0f\u73ed\u533a\u753b.fgb"}}</t>
  </si>
  <si>
    <t>{"PARAMETERS": {"2": "'E:/G\u7a7a\u9593\u60c5\u5831\u30bb\u30f3\u30bf\u30fc/21\u5c90\u961c\u770c/71\u9577\u826f\u5ddd\u68ee\u6797\u8a08\u753b\u533a/\u7b2c7\u7cfb/\u6797\u9053.shp'", "crsjgd2000": "QgsCoordinateReferenceSystem('EPSG:2449')"}, "OUTPUTS": {"": "E:/G\u7a7a\u9593\u60c5\u5831\u30bb\u30f3\u30bf\u30fc/21\u5c90\u961c\u770c/71\u9577\u826f\u5ddd\u68ee\u6797\u8a08\u753b\u533aTKY2JGD/\u7b2c7\u7cfb/\u6797\u9053.fgb"}}</t>
  </si>
  <si>
    <t>{"PARAMETERS": {"2": "'E:/G\u7a7a\u9593\u60c5\u5831\u30bb\u30f3\u30bf\u30fc/21\u5c90\u961c\u770c/71\u9577\u826f\u5ddd\u68ee\u6797\u8a08\u753b\u533a/\u7b2c7\u7cfb/\u4f5c\u696d\u9053.shp'", "crsjgd2000": "QgsCoordinateReferenceSystem('EPSG:2449')"}, "OUTPUTS": {"": "E:/G\u7a7a\u9593\u60c5\u5831\u30bb\u30f3\u30bf\u30fc/21\u5c90\u961c\u770c/71\u9577\u826f\u5ddd\u68ee\u6797\u8a08\u753b\u533aTKY2JGD/\u7b2c7\u7cfb/\u4f5c\u696d\u9053.fgb"}}</t>
  </si>
  <si>
    <t>{"PARAMETERS": {"2": "'E:/G\u7a7a\u9593\u60c5\u5831\u30bb\u30f3\u30bf\u30fc/21\u5c90\u961c\u770c/71\u9577\u826f\u5ddd\u68ee\u6797\u8a08\u753b\u533a/\u7b2c7\u7cfb/\u7b49\u9ad8\u7dda10m\u9593\u9694.shp'", "crsjgd2000": "QgsCoordinateReferenceSystem('EPSG:2449')"}, "OUTPUTS": {"": "E:/G\u7a7a\u9593\u60c5\u5831\u30bb\u30f3\u30bf\u30fc/21\u5c90\u961c\u770c/71\u9577\u826f\u5ddd\u68ee\u6797\u8a08\u753b\u533aTKY2JGD/\u7b2c7\u7cfb/\u7b49\u9ad8\u7dda10m\u9593\u9694.fgb"}}</t>
  </si>
  <si>
    <t>{"PARAMETERS": {"2": "'E:/G\u7a7a\u9593\u60c5\u5831\u30bb\u30f3\u30bf\u30fc/21\u5c90\u961c\u770c/72\u63d6\u6590\u5ddd\u68ee\u6797\u8a08\u753b\u533a/\u7b2c7\u7cfb/\u5883\u754c.shp'", "crsjgd2000": "QgsCoordinateReferenceSystem('EPSG:2449')"}, "OUTPUTS": {"": "E:/G\u7a7a\u9593\u60c5\u5831\u30bb\u30f3\u30bf\u30fc/21\u5c90\u961c\u770c/72\u63d6\u6590\u5ddd\u68ee\u6797\u8a08\u753b\u533aTKY2JGD/\u7b2c7\u7cfb/\u5883\u754c.fgb"}}</t>
  </si>
  <si>
    <t>{"PARAMETERS": {"2": "'E:/G\u7a7a\u9593\u60c5\u5831\u30bb\u30f3\u30bf\u30fc/21\u5c90\u961c\u770c/72\u63d6\u6590\u5ddd\u68ee\u6797\u8a08\u753b\u533a/\u7b2c7\u7cfb/\u6797\u73ed\u754c.shp'", "crsjgd2000": "QgsCoordinateReferenceSystem('EPSG:2449')"}, "OUTPUTS": {"": "E:/G\u7a7a\u9593\u60c5\u5831\u30bb\u30f3\u30bf\u30fc/21\u5c90\u961c\u770c/72\u63d6\u6590\u5ddd\u68ee\u6797\u8a08\u753b\u533aTKY2JGD/\u7b2c7\u7cfb/\u6797\u73ed\u754c.fgb"}}</t>
  </si>
  <si>
    <t>{"PARAMETERS": {"2": "'E:/G\u7a7a\u9593\u60c5\u5831\u30bb\u30f3\u30bf\u30fc/21\u5c90\u961c\u770c/72\u63d6\u6590\u5ddd\u68ee\u6797\u8a08\u753b\u533a/\u7b2c7\u7cfb/\u6797\u73ed\u533a\u753b.shp'", "crsjgd2000": "QgsCoordinateReferenceSystem('EPSG:2449')"}, "OUTPUTS": {"": "E:/G\u7a7a\u9593\u60c5\u5831\u30bb\u30f3\u30bf\u30fc/21\u5c90\u961c\u770c/72\u63d6\u6590\u5ddd\u68ee\u6797\u8a08\u753b\u533aTKY2JGD/\u7b2c7\u7cfb/\u6797\u73ed\u533a\u753b.fgb"}}</t>
  </si>
  <si>
    <t>{"PARAMETERS": {"2": "'E:/G\u7a7a\u9593\u60c5\u5831\u30bb\u30f3\u30bf\u30fc/21\u5c90\u961c\u770c/72\u63d6\u6590\u5ddd\u68ee\u6797\u8a08\u753b\u533a/\u7b2c7\u7cfb/\u5c0f\u73ed\u754c.shp'", "crsjgd2000": "QgsCoordinateReferenceSystem('EPSG:2449')"}, "OUTPUTS": {"": "E:/G\u7a7a\u9593\u60c5\u5831\u30bb\u30f3\u30bf\u30fc/21\u5c90\u961c\u770c/72\u63d6\u6590\u5ddd\u68ee\u6797\u8a08\u753b\u533aTKY2JGD/\u7b2c7\u7cfb/\u5c0f\u73ed\u754c.fgb"}}</t>
  </si>
  <si>
    <t>{"PARAMETERS": {"2": "'E:/G\u7a7a\u9593\u60c5\u5831\u30bb\u30f3\u30bf\u30fc/21\u5c90\u961c\u770c/72\u63d6\u6590\u5ddd\u68ee\u6797\u8a08\u753b\u533a/\u7b2c7\u7cfb/\u5c0f\u73ed\u533a\u753b.shp'", "crsjgd2000": "QgsCoordinateReferenceSystem('EPSG:2449')"}, "OUTPUTS": {"": "E:/G\u7a7a\u9593\u60c5\u5831\u30bb\u30f3\u30bf\u30fc/21\u5c90\u961c\u770c/72\u63d6\u6590\u5ddd\u68ee\u6797\u8a08\u753b\u533aTKY2JGD/\u7b2c7\u7cfb/\u5c0f\u73ed\u533a\u753b.fgb"}}</t>
  </si>
  <si>
    <t>{"PARAMETERS": {"2": "'E:/G\u7a7a\u9593\u60c5\u5831\u30bb\u30f3\u30bf\u30fc/21\u5c90\u961c\u770c/72\u63d6\u6590\u5ddd\u68ee\u6797\u8a08\u753b\u533a/\u7b2c7\u7cfb/\u6797\u9053.shp'", "crsjgd2000": "QgsCoordinateReferenceSystem('EPSG:2449')"}, "OUTPUTS": {"": "E:/G\u7a7a\u9593\u60c5\u5831\u30bb\u30f3\u30bf\u30fc/21\u5c90\u961c\u770c/72\u63d6\u6590\u5ddd\u68ee\u6797\u8a08\u753b\u533aTKY2JGD/\u7b2c7\u7cfb/\u6797\u9053.fgb"}}</t>
  </si>
  <si>
    <t>{"PARAMETERS": {"2": "'E:/G\u7a7a\u9593\u60c5\u5831\u30bb\u30f3\u30bf\u30fc/21\u5c90\u961c\u770c/72\u63d6\u6590\u5ddd\u68ee\u6797\u8a08\u753b\u533a/\u7b2c7\u7cfb/\u4f5c\u696d\u9053.shp'", "crsjgd2000": "QgsCoordinateReferenceSystem('EPSG:2449')"}, "OUTPUTS": {"": "E:/G\u7a7a\u9593\u60c5\u5831\u30bb\u30f3\u30bf\u30fc/21\u5c90\u961c\u770c/72\u63d6\u6590\u5ddd\u68ee\u6797\u8a08\u753b\u533aTKY2JGD/\u7b2c7\u7cfb/\u4f5c\u696d\u9053.fgb"}}</t>
  </si>
  <si>
    <t>{"PARAMETERS": {"2": "'E:/G\u7a7a\u9593\u60c5\u5831\u30bb\u30f3\u30bf\u30fc/21\u5c90\u961c\u770c/72\u63d6\u6590\u5ddd\u68ee\u6797\u8a08\u753b\u533a/\u7b2c7\u7cfb/\u7b49\u9ad8\u7dda10m\u9593\u9694.shp'", "crsjgd2000": "QgsCoordinateReferenceSystem('EPSG:2449')"}, "OUTPUTS": {"": "E:/G\u7a7a\u9593\u60c5\u5831\u30bb\u30f3\u30bf\u30fc/21\u5c90\u961c\u770c/72\u63d6\u6590\u5ddd\u68ee\u6797\u8a08\u753b\u533aTKY2JGD/\u7b2c7\u7cfb/\u7b49\u9ad8\u7dda10m\u9593\u9694.fgb"}}</t>
  </si>
  <si>
    <t>{"PARAMETERS": {"2": "'E:/G\u7a7a\u9593\u60c5\u5831\u30bb\u30f3\u30bf\u30fc/21\u5c90\u961c\u770c/73\u6728\u66fd\u5ddd\u68ee\u6797\u8a08\u753b\u533a/\u7b2c7\u7cfb/\u5883\u754c.shp'", "crsjgd2000": "QgsCoordinateReferenceSystem('EPSG:2449')"}, "OUTPUTS": {"": "E:/G\u7a7a\u9593\u60c5\u5831\u30bb\u30f3\u30bf\u30fc/21\u5c90\u961c\u770c/73\u6728\u66fd\u5ddd\u68ee\u6797\u8a08\u753b\u533aTKY2JGD/\u7b2c7\u7cfb/\u5883\u754c.fgb"}}</t>
  </si>
  <si>
    <t>{"PARAMETERS": {"2": "'E:/G\u7a7a\u9593\u60c5\u5831\u30bb\u30f3\u30bf\u30fc/21\u5c90\u961c\u770c/73\u6728\u66fd\u5ddd\u68ee\u6797\u8a08\u753b\u533a/\u7b2c7\u7cfb/\u6797\u73ed\u754c.shp'", "crsjgd2000": "QgsCoordinateReferenceSystem('EPSG:2449')"}, "OUTPUTS": {"": "E:/G\u7a7a\u9593\u60c5\u5831\u30bb\u30f3\u30bf\u30fc/21\u5c90\u961c\u770c/73\u6728\u66fd\u5ddd\u68ee\u6797\u8a08\u753b\u533aTKY2JGD/\u7b2c7\u7cfb/\u6797\u73ed\u754c.fgb"}}</t>
  </si>
  <si>
    <t>{"PARAMETERS": {"2": "'E:/G\u7a7a\u9593\u60c5\u5831\u30bb\u30f3\u30bf\u30fc/21\u5c90\u961c\u770c/73\u6728\u66fd\u5ddd\u68ee\u6797\u8a08\u753b\u533a/\u7b2c7\u7cfb/\u6797\u73ed\u533a\u753b.shp'", "crsjgd2000": "QgsCoordinateReferenceSystem('EPSG:2449')"}, "OUTPUTS": {"": "E:/G\u7a7a\u9593\u60c5\u5831\u30bb\u30f3\u30bf\u30fc/21\u5c90\u961c\u770c/73\u6728\u66fd\u5ddd\u68ee\u6797\u8a08\u753b\u533aTKY2JGD/\u7b2c7\u7cfb/\u6797\u73ed\u533a\u753b.fgb"}}</t>
  </si>
  <si>
    <t>{"PARAMETERS": {"2": "'E:/G\u7a7a\u9593\u60c5\u5831\u30bb\u30f3\u30bf\u30fc/21\u5c90\u961c\u770c/73\u6728\u66fd\u5ddd\u68ee\u6797\u8a08\u753b\u533a/\u7b2c7\u7cfb/\u5c0f\u73ed\u754c.shp'", "crsjgd2000": "QgsCoordinateReferenceSystem('EPSG:2449')"}, "OUTPUTS": {"": "E:/G\u7a7a\u9593\u60c5\u5831\u30bb\u30f3\u30bf\u30fc/21\u5c90\u961c\u770c/73\u6728\u66fd\u5ddd\u68ee\u6797\u8a08\u753b\u533aTKY2JGD/\u7b2c7\u7cfb/\u5c0f\u73ed\u754c.fgb"}}</t>
  </si>
  <si>
    <t>{"PARAMETERS": {"2": "'E:/G\u7a7a\u9593\u60c5\u5831\u30bb\u30f3\u30bf\u30fc/21\u5c90\u961c\u770c/73\u6728\u66fd\u5ddd\u68ee\u6797\u8a08\u753b\u533a/\u7b2c7\u7cfb/\u5c0f\u73ed\u533a\u753b.shp'", "crsjgd2000": "QgsCoordinateReferenceSystem('EPSG:2449')"}, "OUTPUTS": {"": "E:/G\u7a7a\u9593\u60c5\u5831\u30bb\u30f3\u30bf\u30fc/21\u5c90\u961c\u770c/73\u6728\u66fd\u5ddd\u68ee\u6797\u8a08\u753b\u533aTKY2JGD/\u7b2c7\u7cfb/\u5c0f\u73ed\u533a\u753b.fgb"}}</t>
  </si>
  <si>
    <t>{"PARAMETERS": {"2": "'E:/G\u7a7a\u9593\u60c5\u5831\u30bb\u30f3\u30bf\u30fc/21\u5c90\u961c\u770c/73\u6728\u66fd\u5ddd\u68ee\u6797\u8a08\u753b\u533a/\u7b2c7\u7cfb/\u6797\u9053.shp'", "crsjgd2000": "QgsCoordinateReferenceSystem('EPSG:2449')"}, "OUTPUTS": {"": "E:/G\u7a7a\u9593\u60c5\u5831\u30bb\u30f3\u30bf\u30fc/21\u5c90\u961c\u770c/73\u6728\u66fd\u5ddd\u68ee\u6797\u8a08\u753b\u533aTKY2JGD/\u7b2c7\u7cfb/\u6797\u9053.fgb"}}</t>
  </si>
  <si>
    <t>{"PARAMETERS": {"2": "'E:/G\u7a7a\u9593\u60c5\u5831\u30bb\u30f3\u30bf\u30fc/21\u5c90\u961c\u770c/73\u6728\u66fd\u5ddd\u68ee\u6797\u8a08\u753b\u533a/\u7b2c7\u7cfb/\u4f5c\u696d\u9053.shp'", "crsjgd2000": "QgsCoordinateReferenceSystem('EPSG:2449')"}, "OUTPUTS": {"": "E:/G\u7a7a\u9593\u60c5\u5831\u30bb\u30f3\u30bf\u30fc/21\u5c90\u961c\u770c/73\u6728\u66fd\u5ddd\u68ee\u6797\u8a08\u753b\u533aTKY2JGD/\u7b2c7\u7cfb/\u4f5c\u696d\u9053.fgb"}}</t>
  </si>
  <si>
    <t>{"PARAMETERS": {"2": "'E:/G\u7a7a\u9593\u60c5\u5831\u30bb\u30f3\u30bf\u30fc/21\u5c90\u961c\u770c/73\u6728\u66fd\u5ddd\u68ee\u6797\u8a08\u753b\u533a/\u7b2c7\u7cfb/\u7b49\u9ad8\u7dda10m\u9593\u9694.shp'", "crsjgd2000": "QgsCoordinateReferenceSystem('EPSG:2449')"}, "OUTPUTS": {"": "E:/G\u7a7a\u9593\u60c5\u5831\u30bb\u30f3\u30bf\u30fc/21\u5c90\u961c\u770c/73\u6728\u66fd\u5ddd\u68ee\u6797\u8a08\u753b\u533aTKY2JGD/\u7b2c7\u7cfb/\u7b49\u9ad8\u7dda10m\u9593\u9694.fgb"}}</t>
  </si>
  <si>
    <t>{"PARAMETERS": {"2": "'E:/G\u7a7a\u9593\u60c5\u5831\u30bb\u30f3\u30bf\u30fc/22\u9759\u5ca1\u770c/74\u9759\u5ca1\u68ee\u6797\u8a08\u753b\u533a/\u7b2c8\u7cfb/\u5883\u754c.shp'", "crsjgd2000": "QgsCoordinateReferenceSystem('EPSG:2450')"}, "OUTPUTS": {"": "E:/G\u7a7a\u9593\u60c5\u5831\u30bb\u30f3\u30bf\u30fc/22\u9759\u5ca1\u770c/74\u9759\u5ca1\u68ee\u6797\u8a08\u753b\u533aTKY2JGD/\u7b2c8\u7cfb/\u5883\u754c.fgb"}}</t>
  </si>
  <si>
    <t>{"PARAMETERS": {"2": "'E:/G\u7a7a\u9593\u60c5\u5831\u30bb\u30f3\u30bf\u30fc/22\u9759\u5ca1\u770c/74\u9759\u5ca1\u68ee\u6797\u8a08\u753b\u533a/\u7b2c8\u7cfb/\u6797\u73ed\u754c.shp'", "crsjgd2000": "QgsCoordinateReferenceSystem('EPSG:2450')"}, "OUTPUTS": {"": "E:/G\u7a7a\u9593\u60c5\u5831\u30bb\u30f3\u30bf\u30fc/22\u9759\u5ca1\u770c/74\u9759\u5ca1\u68ee\u6797\u8a08\u753b\u533aTKY2JGD/\u7b2c8\u7cfb/\u6797\u73ed\u754c.fgb"}}</t>
  </si>
  <si>
    <t>{"PARAMETERS": {"2": "'E:/G\u7a7a\u9593\u60c5\u5831\u30bb\u30f3\u30bf\u30fc/22\u9759\u5ca1\u770c/74\u9759\u5ca1\u68ee\u6797\u8a08\u753b\u533a/\u7b2c8\u7cfb/\u6797\u73ed\u533a\u753b.shp'", "crsjgd2000": "QgsCoordinateReferenceSystem('EPSG:2450')"}, "OUTPUTS": {"": "E:/G\u7a7a\u9593\u60c5\u5831\u30bb\u30f3\u30bf\u30fc/22\u9759\u5ca1\u770c/74\u9759\u5ca1\u68ee\u6797\u8a08\u753b\u533aTKY2JGD/\u7b2c8\u7cfb/\u6797\u73ed\u533a\u753b.fgb"}}</t>
  </si>
  <si>
    <t>{"PARAMETERS": {"2": "'E:/G\u7a7a\u9593\u60c5\u5831\u30bb\u30f3\u30bf\u30fc/22\u9759\u5ca1\u770c/74\u9759\u5ca1\u68ee\u6797\u8a08\u753b\u533a/\u7b2c8\u7cfb/\u5c0f\u73ed\u754c.shp'", "crsjgd2000": "QgsCoordinateReferenceSystem('EPSG:2450')"}, "OUTPUTS": {"": "E:/G\u7a7a\u9593\u60c5\u5831\u30bb\u30f3\u30bf\u30fc/22\u9759\u5ca1\u770c/74\u9759\u5ca1\u68ee\u6797\u8a08\u753b\u533aTKY2JGD/\u7b2c8\u7cfb/\u5c0f\u73ed\u754c.fgb"}}</t>
  </si>
  <si>
    <t>{"PARAMETERS": {"2": "'E:/G\u7a7a\u9593\u60c5\u5831\u30bb\u30f3\u30bf\u30fc/22\u9759\u5ca1\u770c/74\u9759\u5ca1\u68ee\u6797\u8a08\u753b\u533a/\u7b2c8\u7cfb/\u5c0f\u73ed\u533a\u753b.shp'", "crsjgd2000": "QgsCoordinateReferenceSystem('EPSG:2450')"}, "OUTPUTS": {"": "E:/G\u7a7a\u9593\u60c5\u5831\u30bb\u30f3\u30bf\u30fc/22\u9759\u5ca1\u770c/74\u9759\u5ca1\u68ee\u6797\u8a08\u753b\u533aTKY2JGD/\u7b2c8\u7cfb/\u5c0f\u73ed\u533a\u753b.fgb"}}</t>
  </si>
  <si>
    <t>{"PARAMETERS": {"2": "'E:/G\u7a7a\u9593\u60c5\u5831\u30bb\u30f3\u30bf\u30fc/22\u9759\u5ca1\u770c/74\u9759\u5ca1\u68ee\u6797\u8a08\u753b\u533a/\u7b2c8\u7cfb/\u6797\u9053.shp'", "crsjgd2000": "QgsCoordinateReferenceSystem('EPSG:2450')"}, "OUTPUTS": {"": "E:/G\u7a7a\u9593\u60c5\u5831\u30bb\u30f3\u30bf\u30fc/22\u9759\u5ca1\u770c/74\u9759\u5ca1\u68ee\u6797\u8a08\u753b\u533aTKY2JGD/\u7b2c8\u7cfb/\u6797\u9053.fgb"}}</t>
  </si>
  <si>
    <t>{"PARAMETERS": {"2": "'E:/G\u7a7a\u9593\u60c5\u5831\u30bb\u30f3\u30bf\u30fc/22\u9759\u5ca1\u770c/74\u9759\u5ca1\u68ee\u6797\u8a08\u753b\u533a/\u7b2c8\u7cfb/\u4f5c\u696d\u9053.shp'", "crsjgd2000": "QgsCoordinateReferenceSystem('EPSG:2450')"}, "OUTPUTS": {"": "E:/G\u7a7a\u9593\u60c5\u5831\u30bb\u30f3\u30bf\u30fc/22\u9759\u5ca1\u770c/74\u9759\u5ca1\u68ee\u6797\u8a08\u753b\u533aTKY2JGD/\u7b2c8\u7cfb/\u4f5c\u696d\u9053.fgb"}}</t>
  </si>
  <si>
    <t>{"PARAMETERS": {"2": "'E:/G\u7a7a\u9593\u60c5\u5831\u30bb\u30f3\u30bf\u30fc/22\u9759\u5ca1\u770c/74\u9759\u5ca1\u68ee\u6797\u8a08\u753b\u533a/\u7b2c8\u7cfb/\u7b49\u9ad8\u7dda10m\u9593\u9694.shp'", "crsjgd2000": "QgsCoordinateReferenceSystem('EPSG:2450')"}, "OUTPUTS": {"": "E:/G\u7a7a\u9593\u60c5\u5831\u30bb\u30f3\u30bf\u30fc/22\u9759\u5ca1\u770c/74\u9759\u5ca1\u68ee\u6797\u8a08\u753b\u533aTKY2JGD/\u7b2c8\u7cfb/\u7b49\u9ad8\u7dda10m\u9593\u9694.fgb"}}</t>
  </si>
  <si>
    <t>{"PARAMETERS": {"2": "'E:/G\u7a7a\u9593\u60c5\u5831\u30bb\u30f3\u30bf\u30fc/22\u9759\u5ca1\u770c/75\u5bcc\u58eb\u68ee\u6797\u8a08\u753b\u533a/\u7b2c8\u7cfb/\u5883\u754c.shp'", "crsjgd2000": "QgsCoordinateReferenceSystem('EPSG:2450')"}, "OUTPUTS": {"": "E:/G\u7a7a\u9593\u60c5\u5831\u30bb\u30f3\u30bf\u30fc/22\u9759\u5ca1\u770c/75\u5bcc\u58eb\u68ee\u6797\u8a08\u753b\u533aTKY2JGD/\u7b2c8\u7cfb/\u5883\u754c.fgb"}}</t>
  </si>
  <si>
    <t>{"PARAMETERS": {"2": "'E:/G\u7a7a\u9593\u60c5\u5831\u30bb\u30f3\u30bf\u30fc/22\u9759\u5ca1\u770c/75\u5bcc\u58eb\u68ee\u6797\u8a08\u753b\u533a/\u7b2c8\u7cfb/\u6797\u73ed\u754c.shp'", "crsjgd2000": "QgsCoordinateReferenceSystem('EPSG:2450')"}, "OUTPUTS": {"": "E:/G\u7a7a\u9593\u60c5\u5831\u30bb\u30f3\u30bf\u30fc/22\u9759\u5ca1\u770c/75\u5bcc\u58eb\u68ee\u6797\u8a08\u753b\u533aTKY2JGD/\u7b2c8\u7cfb/\u6797\u73ed\u754c.fgb"}}</t>
  </si>
  <si>
    <t>{"PARAMETERS": {"2": "'E:/G\u7a7a\u9593\u60c5\u5831\u30bb\u30f3\u30bf\u30fc/22\u9759\u5ca1\u770c/75\u5bcc\u58eb\u68ee\u6797\u8a08\u753b\u533a/\u7b2c8\u7cfb/\u6797\u73ed\u533a\u753b.shp'", "crsjgd2000": "QgsCoordinateReferenceSystem('EPSG:2450')"}, "OUTPUTS": {"": "E:/G\u7a7a\u9593\u60c5\u5831\u30bb\u30f3\u30bf\u30fc/22\u9759\u5ca1\u770c/75\u5bcc\u58eb\u68ee\u6797\u8a08\u753b\u533aTKY2JGD/\u7b2c8\u7cfb/\u6797\u73ed\u533a\u753b.fgb"}}</t>
  </si>
  <si>
    <t>{"PARAMETERS": {"2": "'E:/G\u7a7a\u9593\u60c5\u5831\u30bb\u30f3\u30bf\u30fc/22\u9759\u5ca1\u770c/75\u5bcc\u58eb\u68ee\u6797\u8a08\u753b\u533a/\u7b2c8\u7cfb/\u5c0f\u73ed\u754c.shp'", "crsjgd2000": "QgsCoordinateReferenceSystem('EPSG:2450')"}, "OUTPUTS": {"": "E:/G\u7a7a\u9593\u60c5\u5831\u30bb\u30f3\u30bf\u30fc/22\u9759\u5ca1\u770c/75\u5bcc\u58eb\u68ee\u6797\u8a08\u753b\u533aTKY2JGD/\u7b2c8\u7cfb/\u5c0f\u73ed\u754c.fgb"}}</t>
  </si>
  <si>
    <t>{"PARAMETERS": {"2": "'E:/G\u7a7a\u9593\u60c5\u5831\u30bb\u30f3\u30bf\u30fc/22\u9759\u5ca1\u770c/75\u5bcc\u58eb\u68ee\u6797\u8a08\u753b\u533a/\u7b2c8\u7cfb/\u5c0f\u73ed\u533a\u753b.shp'", "crsjgd2000": "QgsCoordinateReferenceSystem('EPSG:2450')"}, "OUTPUTS": {"": "E:/G\u7a7a\u9593\u60c5\u5831\u30bb\u30f3\u30bf\u30fc/22\u9759\u5ca1\u770c/75\u5bcc\u58eb\u68ee\u6797\u8a08\u753b\u533aTKY2JGD/\u7b2c8\u7cfb/\u5c0f\u73ed\u533a\u753b.fgb"}}</t>
  </si>
  <si>
    <t>{"PARAMETERS": {"2": "'E:/G\u7a7a\u9593\u60c5\u5831\u30bb\u30f3\u30bf\u30fc/22\u9759\u5ca1\u770c/75\u5bcc\u58eb\u68ee\u6797\u8a08\u753b\u533a/\u7b2c8\u7cfb/\u6797\u9053.shp'", "crsjgd2000": "QgsCoordinateReferenceSystem('EPSG:2450')"}, "OUTPUTS": {"": "E:/G\u7a7a\u9593\u60c5\u5831\u30bb\u30f3\u30bf\u30fc/22\u9759\u5ca1\u770c/75\u5bcc\u58eb\u68ee\u6797\u8a08\u753b\u533aTKY2JGD/\u7b2c8\u7cfb/\u6797\u9053.fgb"}}</t>
  </si>
  <si>
    <t>{"PARAMETERS": {"2": "'E:/G\u7a7a\u9593\u60c5\u5831\u30bb\u30f3\u30bf\u30fc/22\u9759\u5ca1\u770c/75\u5bcc\u58eb\u68ee\u6797\u8a08\u753b\u533a/\u7b2c8\u7cfb/\u4f5c\u696d\u9053.shp'", "crsjgd2000": "QgsCoordinateReferenceSystem('EPSG:2450')"}, "OUTPUTS": {"": "E:/G\u7a7a\u9593\u60c5\u5831\u30bb\u30f3\u30bf\u30fc/22\u9759\u5ca1\u770c/75\u5bcc\u58eb\u68ee\u6797\u8a08\u753b\u533aTKY2JGD/\u7b2c8\u7cfb/\u4f5c\u696d\u9053.fgb"}}</t>
  </si>
  <si>
    <t>{"PARAMETERS": {"2": "'E:/G\u7a7a\u9593\u60c5\u5831\u30bb\u30f3\u30bf\u30fc/22\u9759\u5ca1\u770c/75\u5bcc\u58eb\u68ee\u6797\u8a08\u753b\u533a/\u7b2c8\u7cfb/\u7b49\u9ad8\u7dda10m\u9593\u9694.shp'", "crsjgd2000": "QgsCoordinateReferenceSystem('EPSG:2450')"}, "OUTPUTS": {"": "E:/G\u7a7a\u9593\u60c5\u5831\u30bb\u30f3\u30bf\u30fc/22\u9759\u5ca1\u770c/75\u5bcc\u58eb\u68ee\u6797\u8a08\u753b\u533aTKY2JGD/\u7b2c8\u7cfb/\u7b49\u9ad8\u7dda10m\u9593\u9694.fgb"}}</t>
  </si>
  <si>
    <t>{"PARAMETERS": {"2": "'E:/G\u7a7a\u9593\u60c5\u5831\u30bb\u30f3\u30bf\u30fc/22\u9759\u5ca1\u770c/76\u4f0a\u8c46\u68ee\u6797\u8a08\u753b\u533a/\u7b2c8\u7cfb/\u5883\u754c.shp'", "crsjgd2000": "QgsCoordinateReferenceSystem('EPSG:2450')"}, "OUTPUTS": {"": "E:/G\u7a7a\u9593\u60c5\u5831\u30bb\u30f3\u30bf\u30fc/22\u9759\u5ca1\u770c/76\u4f0a\u8c46\u68ee\u6797\u8a08\u753b\u533aTKY2JGD/\u7b2c8\u7cfb/\u5883\u754c.fgb"}}</t>
  </si>
  <si>
    <t>{"PARAMETERS": {"2": "'E:/G\u7a7a\u9593\u60c5\u5831\u30bb\u30f3\u30bf\u30fc/22\u9759\u5ca1\u770c/76\u4f0a\u8c46\u68ee\u6797\u8a08\u753b\u533a/\u7b2c8\u7cfb/\u6797\u73ed\u754c.shp'", "crsjgd2000": "QgsCoordinateReferenceSystem('EPSG:2450')"}, "OUTPUTS": {"": "E:/G\u7a7a\u9593\u60c5\u5831\u30bb\u30f3\u30bf\u30fc/22\u9759\u5ca1\u770c/76\u4f0a\u8c46\u68ee\u6797\u8a08\u753b\u533aTKY2JGD/\u7b2c8\u7cfb/\u6797\u73ed\u754c.fgb"}}</t>
  </si>
  <si>
    <t>{"PARAMETERS": {"2": "'E:/G\u7a7a\u9593\u60c5\u5831\u30bb\u30f3\u30bf\u30fc/22\u9759\u5ca1\u770c/76\u4f0a\u8c46\u68ee\u6797\u8a08\u753b\u533a/\u7b2c8\u7cfb/\u6797\u73ed\u533a\u753b.shp'", "crsjgd2000": "QgsCoordinateReferenceSystem('EPSG:2450')"}, "OUTPUTS": {"": "E:/G\u7a7a\u9593\u60c5\u5831\u30bb\u30f3\u30bf\u30fc/22\u9759\u5ca1\u770c/76\u4f0a\u8c46\u68ee\u6797\u8a08\u753b\u533aTKY2JGD/\u7b2c8\u7cfb/\u6797\u73ed\u533a\u753b.fgb"}}</t>
  </si>
  <si>
    <t>{"PARAMETERS": {"2": "'E:/G\u7a7a\u9593\u60c5\u5831\u30bb\u30f3\u30bf\u30fc/22\u9759\u5ca1\u770c/76\u4f0a\u8c46\u68ee\u6797\u8a08\u753b\u533a/\u7b2c8\u7cfb/\u5c0f\u73ed\u754c.shp'", "crsjgd2000": "QgsCoordinateReferenceSystem('EPSG:2450')"}, "OUTPUTS": {"": "E:/G\u7a7a\u9593\u60c5\u5831\u30bb\u30f3\u30bf\u30fc/22\u9759\u5ca1\u770c/76\u4f0a\u8c46\u68ee\u6797\u8a08\u753b\u533aTKY2JGD/\u7b2c8\u7cfb/\u5c0f\u73ed\u754c.fgb"}}</t>
  </si>
  <si>
    <t>{"PARAMETERS": {"2": "'E:/G\u7a7a\u9593\u60c5\u5831\u30bb\u30f3\u30bf\u30fc/22\u9759\u5ca1\u770c/76\u4f0a\u8c46\u68ee\u6797\u8a08\u753b\u533a/\u7b2c8\u7cfb/\u5c0f\u73ed\u533a\u753b.shp'", "crsjgd2000": "QgsCoordinateReferenceSystem('EPSG:2450')"}, "OUTPUTS": {"": "E:/G\u7a7a\u9593\u60c5\u5831\u30bb\u30f3\u30bf\u30fc/22\u9759\u5ca1\u770c/76\u4f0a\u8c46\u68ee\u6797\u8a08\u753b\u533aTKY2JGD/\u7b2c8\u7cfb/\u5c0f\u73ed\u533a\u753b.fgb"}}</t>
  </si>
  <si>
    <t>{"PARAMETERS": {"2": "'E:/G\u7a7a\u9593\u60c5\u5831\u30bb\u30f3\u30bf\u30fc/22\u9759\u5ca1\u770c/76\u4f0a\u8c46\u68ee\u6797\u8a08\u753b\u533a/\u7b2c8\u7cfb/\u6797\u9053.shp'", "crsjgd2000": "QgsCoordinateReferenceSystem('EPSG:2450')"}, "OUTPUTS": {"": "E:/G\u7a7a\u9593\u60c5\u5831\u30bb\u30f3\u30bf\u30fc/22\u9759\u5ca1\u770c/76\u4f0a\u8c46\u68ee\u6797\u8a08\u753b\u533aTKY2JGD/\u7b2c8\u7cfb/\u6797\u9053.fgb"}}</t>
  </si>
  <si>
    <t>{"PARAMETERS": {"2": "'E:/G\u7a7a\u9593\u60c5\u5831\u30bb\u30f3\u30bf\u30fc/22\u9759\u5ca1\u770c/76\u4f0a\u8c46\u68ee\u6797\u8a08\u753b\u533a/\u7b2c8\u7cfb/\u4f5c\u696d\u9053.shp'", "crsjgd2000": "QgsCoordinateReferenceSystem('EPSG:2450')"}, "OUTPUTS": {"": "E:/G\u7a7a\u9593\u60c5\u5831\u30bb\u30f3\u30bf\u30fc/22\u9759\u5ca1\u770c/76\u4f0a\u8c46\u68ee\u6797\u8a08\u753b\u533aTKY2JGD/\u7b2c8\u7cfb/\u4f5c\u696d\u9053.fgb"}}</t>
  </si>
  <si>
    <t>{"PARAMETERS": {"2": "'E:/G\u7a7a\u9593\u60c5\u5831\u30bb\u30f3\u30bf\u30fc/22\u9759\u5ca1\u770c/76\u4f0a\u8c46\u68ee\u6797\u8a08\u753b\u533a/\u7b2c8\u7cfb/\u7b49\u9ad8\u7dda10m\u9593\u9694.shp'", "crsjgd2000": "QgsCoordinateReferenceSystem('EPSG:2450')"}, "OUTPUTS": {"": "E:/G\u7a7a\u9593\u60c5\u5831\u30bb\u30f3\u30bf\u30fc/22\u9759\u5ca1\u770c/76\u4f0a\u8c46\u68ee\u6797\u8a08\u753b\u533aTKY2JGD/\u7b2c8\u7cfb/\u7b49\u9ad8\u7dda10m\u9593\u9694.fgb"}}</t>
  </si>
  <si>
    <t>{"PARAMETERS": {"2": "'E:/G\u7a7a\u9593\u60c5\u5831\u30bb\u30f3\u30bf\u30fc/22\u9759\u5ca1\u770c/77\u5929\u7adc\u68ee\u6797\u8a08\u753b\u533a/\u7b2c8\u7cfb/\u5883\u754c.shp'", "crsjgd2000": "QgsCoordinateReferenceSystem('EPSG:2450')"}, "OUTPUTS": {"": "E:/G\u7a7a\u9593\u60c5\u5831\u30bb\u30f3\u30bf\u30fc/22\u9759\u5ca1\u770c/77\u5929\u7adc\u68ee\u6797\u8a08\u753b\u533aTKY2JGD/\u7b2c8\u7cfb/\u5883\u754c.fgb"}}</t>
  </si>
  <si>
    <t>{"PARAMETERS": {"2": "'E:/G\u7a7a\u9593\u60c5\u5831\u30bb\u30f3\u30bf\u30fc/22\u9759\u5ca1\u770c/77\u5929\u7adc\u68ee\u6797\u8a08\u753b\u533a/\u7b2c8\u7cfb/\u6797\u73ed\u754c.shp'", "crsjgd2000": "QgsCoordinateReferenceSystem('EPSG:2450')"}, "OUTPUTS": {"": "E:/G\u7a7a\u9593\u60c5\u5831\u30bb\u30f3\u30bf\u30fc/22\u9759\u5ca1\u770c/77\u5929\u7adc\u68ee\u6797\u8a08\u753b\u533aTKY2JGD/\u7b2c8\u7cfb/\u6797\u73ed\u754c.fgb"}}</t>
  </si>
  <si>
    <t>{"PARAMETERS": {"2": "'E:/G\u7a7a\u9593\u60c5\u5831\u30bb\u30f3\u30bf\u30fc/22\u9759\u5ca1\u770c/77\u5929\u7adc\u68ee\u6797\u8a08\u753b\u533a/\u7b2c8\u7cfb/\u6797\u73ed\u533a\u753b.shp'", "crsjgd2000": "QgsCoordinateReferenceSystem('EPSG:2450')"}, "OUTPUTS": {"": "E:/G\u7a7a\u9593\u60c5\u5831\u30bb\u30f3\u30bf\u30fc/22\u9759\u5ca1\u770c/77\u5929\u7adc\u68ee\u6797\u8a08\u753b\u533aTKY2JGD/\u7b2c8\u7cfb/\u6797\u73ed\u533a\u753b.fgb"}}</t>
  </si>
  <si>
    <t>{"PARAMETERS": {"2": "'E:/G\u7a7a\u9593\u60c5\u5831\u30bb\u30f3\u30bf\u30fc/22\u9759\u5ca1\u770c/77\u5929\u7adc\u68ee\u6797\u8a08\u753b\u533a/\u7b2c8\u7cfb/\u5c0f\u73ed\u754c.shp'", "crsjgd2000": "QgsCoordinateReferenceSystem('EPSG:2450')"}, "OUTPUTS": {"": "E:/G\u7a7a\u9593\u60c5\u5831\u30bb\u30f3\u30bf\u30fc/22\u9759\u5ca1\u770c/77\u5929\u7adc\u68ee\u6797\u8a08\u753b\u533aTKY2JGD/\u7b2c8\u7cfb/\u5c0f\u73ed\u754c.fgb"}}</t>
  </si>
  <si>
    <t>{"PARAMETERS": {"2": "'E:/G\u7a7a\u9593\u60c5\u5831\u30bb\u30f3\u30bf\u30fc/22\u9759\u5ca1\u770c/77\u5929\u7adc\u68ee\u6797\u8a08\u753b\u533a/\u7b2c8\u7cfb/\u5c0f\u73ed\u533a\u753b.shp'", "crsjgd2000": "QgsCoordinateReferenceSystem('EPSG:2450')"}, "OUTPUTS": {"": "E:/G\u7a7a\u9593\u60c5\u5831\u30bb\u30f3\u30bf\u30fc/22\u9759\u5ca1\u770c/77\u5929\u7adc\u68ee\u6797\u8a08\u753b\u533aTKY2JGD/\u7b2c8\u7cfb/\u5c0f\u73ed\u533a\u753b.fgb"}}</t>
  </si>
  <si>
    <t>{"PARAMETERS": {"2": "'E:/G\u7a7a\u9593\u60c5\u5831\u30bb\u30f3\u30bf\u30fc/22\u9759\u5ca1\u770c/77\u5929\u7adc\u68ee\u6797\u8a08\u753b\u533a/\u7b2c8\u7cfb/\u6797\u9053.shp'", "crsjgd2000": "QgsCoordinateReferenceSystem('EPSG:2450')"}, "OUTPUTS": {"": "E:/G\u7a7a\u9593\u60c5\u5831\u30bb\u30f3\u30bf\u30fc/22\u9759\u5ca1\u770c/77\u5929\u7adc\u68ee\u6797\u8a08\u753b\u533aTKY2JGD/\u7b2c8\u7cfb/\u6797\u9053.fgb"}}</t>
  </si>
  <si>
    <t>{"PARAMETERS": {"2": "'E:/G\u7a7a\u9593\u60c5\u5831\u30bb\u30f3\u30bf\u30fc/22\u9759\u5ca1\u770c/77\u5929\u7adc\u68ee\u6797\u8a08\u753b\u533a/\u7b2c8\u7cfb/\u4f5c\u696d\u9053.shp'", "crsjgd2000": "QgsCoordinateReferenceSystem('EPSG:2450')"}, "OUTPUTS": {"": "E:/G\u7a7a\u9593\u60c5\u5831\u30bb\u30f3\u30bf\u30fc/22\u9759\u5ca1\u770c/77\u5929\u7adc\u68ee\u6797\u8a08\u753b\u533aTKY2JGD/\u7b2c8\u7cfb/\u4f5c\u696d\u9053.fgb"}}</t>
  </si>
  <si>
    <t>{"PARAMETERS": {"2": "'E:/G\u7a7a\u9593\u60c5\u5831\u30bb\u30f3\u30bf\u30fc/22\u9759\u5ca1\u770c/77\u5929\u7adc\u68ee\u6797\u8a08\u753b\u533a/\u7b2c8\u7cfb/\u7b49\u9ad8\u7dda10m\u9593\u9694.shp'", "crsjgd2000": "QgsCoordinateReferenceSystem('EPSG:2450')"}, "OUTPUTS": {"": "E:/G\u7a7a\u9593\u60c5\u5831\u30bb\u30f3\u30bf\u30fc/22\u9759\u5ca1\u770c/77\u5929\u7adc\u68ee\u6797\u8a08\u753b\u533aTKY2JGD/\u7b2c8\u7cfb/\u7b49\u9ad8\u7dda10m\u9593\u9694.fgb"}}</t>
  </si>
  <si>
    <t>{"PARAMETERS": {"2": "'E:/G\u7a7a\u9593\u60c5\u5831\u30bb\u30f3\u30bf\u30fc/23\u611b\u77e5\u770c/78\u5c3e\u5f35\u897f\u4e09\u6cb3\u68ee\u6797\u8a08\u753b\u533a/\u7b2c7\u7cfb/\u5883\u754c.shp'", "crsjgd2000": "QgsCoordinateReferenceSystem('EPSG:2449')"}, "OUTPUTS": {"": "E:/G\u7a7a\u9593\u60c5\u5831\u30bb\u30f3\u30bf\u30fc/23\u611b\u77e5\u770c/78\u5c3e\u5f35\u897f\u4e09\u6cb3\u68ee\u6797\u8a08\u753b\u533aTKY2JGD/\u7b2c7\u7cfb/\u5883\u754c.fgb"}}</t>
  </si>
  <si>
    <t>{"PARAMETERS": {"2": "'E:/G\u7a7a\u9593\u60c5\u5831\u30bb\u30f3\u30bf\u30fc/23\u611b\u77e5\u770c/78\u5c3e\u5f35\u897f\u4e09\u6cb3\u68ee\u6797\u8a08\u753b\u533a/\u7b2c7\u7cfb/\u6797\u73ed\u754c.shp'", "crsjgd2000": "QgsCoordinateReferenceSystem('EPSG:2449')"}, "OUTPUTS": {"": "E:/G\u7a7a\u9593\u60c5\u5831\u30bb\u30f3\u30bf\u30fc/23\u611b\u77e5\u770c/78\u5c3e\u5f35\u897f\u4e09\u6cb3\u68ee\u6797\u8a08\u753b\u533aTKY2JGD/\u7b2c7\u7cfb/\u6797\u73ed\u754c.fgb"}}</t>
  </si>
  <si>
    <t>{"PARAMETERS": {"2": "'E:/G\u7a7a\u9593\u60c5\u5831\u30bb\u30f3\u30bf\u30fc/23\u611b\u77e5\u770c/78\u5c3e\u5f35\u897f\u4e09\u6cb3\u68ee\u6797\u8a08\u753b\u533a/\u7b2c7\u7cfb/\u6797\u73ed\u533a\u753b.shp'", "crsjgd2000": "QgsCoordinateReferenceSystem('EPSG:2449')"}, "OUTPUTS": {"": "E:/G\u7a7a\u9593\u60c5\u5831\u30bb\u30f3\u30bf\u30fc/23\u611b\u77e5\u770c/78\u5c3e\u5f35\u897f\u4e09\u6cb3\u68ee\u6797\u8a08\u753b\u533aTKY2JGD/\u7b2c7\u7cfb/\u6797\u73ed\u533a\u753b.fgb"}}</t>
  </si>
  <si>
    <t>{"PARAMETERS": {"2": "'E:/G\u7a7a\u9593\u60c5\u5831\u30bb\u30f3\u30bf\u30fc/23\u611b\u77e5\u770c/78\u5c3e\u5f35\u897f\u4e09\u6cb3\u68ee\u6797\u8a08\u753b\u533a/\u7b2c7\u7cfb/\u5c0f\u73ed\u754c.shp'", "crsjgd2000": "QgsCoordinateReferenceSystem('EPSG:2449')"}, "OUTPUTS": {"": "E:/G\u7a7a\u9593\u60c5\u5831\u30bb\u30f3\u30bf\u30fc/23\u611b\u77e5\u770c/78\u5c3e\u5f35\u897f\u4e09\u6cb3\u68ee\u6797\u8a08\u753b\u533aTKY2JGD/\u7b2c7\u7cfb/\u5c0f\u73ed\u754c.fgb"}}</t>
  </si>
  <si>
    <t>{"PARAMETERS": {"2": "'E:/G\u7a7a\u9593\u60c5\u5831\u30bb\u30f3\u30bf\u30fc/23\u611b\u77e5\u770c/78\u5c3e\u5f35\u897f\u4e09\u6cb3\u68ee\u6797\u8a08\u753b\u533a/\u7b2c7\u7cfb/\u5c0f\u73ed\u533a\u753b.shp'", "crsjgd2000": "QgsCoordinateReferenceSystem('EPSG:2449')"}, "OUTPUTS": {"": "E:/G\u7a7a\u9593\u60c5\u5831\u30bb\u30f3\u30bf\u30fc/23\u611b\u77e5\u770c/78\u5c3e\u5f35\u897f\u4e09\u6cb3\u68ee\u6797\u8a08\u753b\u533aTKY2JGD/\u7b2c7\u7cfb/\u5c0f\u73ed\u533a\u753b.fgb"}}</t>
  </si>
  <si>
    <t>{"PARAMETERS": {"2": "'E:/G\u7a7a\u9593\u60c5\u5831\u30bb\u30f3\u30bf\u30fc/23\u611b\u77e5\u770c/78\u5c3e\u5f35\u897f\u4e09\u6cb3\u68ee\u6797\u8a08\u753b\u533a/\u7b2c7\u7cfb/\u6797\u9053.shp'", "crsjgd2000": "QgsCoordinateReferenceSystem('EPSG:2449')"}, "OUTPUTS": {"": "E:/G\u7a7a\u9593\u60c5\u5831\u30bb\u30f3\u30bf\u30fc/23\u611b\u77e5\u770c/78\u5c3e\u5f35\u897f\u4e09\u6cb3\u68ee\u6797\u8a08\u753b\u533aTKY2JGD/\u7b2c7\u7cfb/\u6797\u9053.fgb"}}</t>
  </si>
  <si>
    <t>{"PARAMETERS": {"2": "'E:/G\u7a7a\u9593\u60c5\u5831\u30bb\u30f3\u30bf\u30fc/23\u611b\u77e5\u770c/78\u5c3e\u5f35\u897f\u4e09\u6cb3\u68ee\u6797\u8a08\u753b\u533a/\u7b2c7\u7cfb/\u4f5c\u696d\u9053.shp'", "crsjgd2000": "QgsCoordinateReferenceSystem('EPSG:2449')"}, "OUTPUTS": {"": "E:/G\u7a7a\u9593\u60c5\u5831\u30bb\u30f3\u30bf\u30fc/23\u611b\u77e5\u770c/78\u5c3e\u5f35\u897f\u4e09\u6cb3\u68ee\u6797\u8a08\u753b\u533aTKY2JGD/\u7b2c7\u7cfb/\u4f5c\u696d\u9053.fgb"}}</t>
  </si>
  <si>
    <t>{"PARAMETERS": {"2": "'E:/G\u7a7a\u9593\u60c5\u5831\u30bb\u30f3\u30bf\u30fc/23\u611b\u77e5\u770c/78\u5c3e\u5f35\u897f\u4e09\u6cb3\u68ee\u6797\u8a08\u753b\u533a/\u7b2c7\u7cfb/\u7b49\u9ad8\u7dda10m\u9593\u9694.shp'", "crsjgd2000": "QgsCoordinateReferenceSystem('EPSG:2449')"}, "OUTPUTS": {"": "E:/G\u7a7a\u9593\u60c5\u5831\u30bb\u30f3\u30bf\u30fc/23\u611b\u77e5\u770c/78\u5c3e\u5f35\u897f\u4e09\u6cb3\u68ee\u6797\u8a08\u753b\u533aTKY2JGD/\u7b2c7\u7cfb/\u7b49\u9ad8\u7dda10m\u9593\u9694.fgb"}}</t>
  </si>
  <si>
    <t>{"PARAMETERS": {"2": "'E:/G\u7a7a\u9593\u60c5\u5831\u30bb\u30f3\u30bf\u30fc/23\u611b\u77e5\u770c/79\u6771\u4e09\u6cb3\u68ee\u6797\u8a08\u753b\u533a/\u7b2c7\u7cfb/\u5883\u754c.shp'", "crsjgd2000": "QgsCoordinateReferenceSystem('EPSG:2449')"}, "OUTPUTS": {"": "E:/G\u7a7a\u9593\u60c5\u5831\u30bb\u30f3\u30bf\u30fc/23\u611b\u77e5\u770c/79\u6771\u4e09\u6cb3\u68ee\u6797\u8a08\u753b\u533aTKY2JGD/\u7b2c7\u7cfb/\u5883\u754c.fgb"}}</t>
  </si>
  <si>
    <t>{"PARAMETERS": {"2": "'E:/G\u7a7a\u9593\u60c5\u5831\u30bb\u30f3\u30bf\u30fc/23\u611b\u77e5\u770c/79\u6771\u4e09\u6cb3\u68ee\u6797\u8a08\u753b\u533a/\u7b2c7\u7cfb/\u6797\u73ed\u754c.shp'", "crsjgd2000": "QgsCoordinateReferenceSystem('EPSG:2449')"}, "OUTPUTS": {"": "E:/G\u7a7a\u9593\u60c5\u5831\u30bb\u30f3\u30bf\u30fc/23\u611b\u77e5\u770c/79\u6771\u4e09\u6cb3\u68ee\u6797\u8a08\u753b\u533aTKY2JGD/\u7b2c7\u7cfb/\u6797\u73ed\u754c.fgb"}}</t>
  </si>
  <si>
    <t>{"PARAMETERS": {"2": "'E:/G\u7a7a\u9593\u60c5\u5831\u30bb\u30f3\u30bf\u30fc/23\u611b\u77e5\u770c/79\u6771\u4e09\u6cb3\u68ee\u6797\u8a08\u753b\u533a/\u7b2c7\u7cfb/\u6797\u73ed\u533a\u753b.shp'", "crsjgd2000": "QgsCoordinateReferenceSystem('EPSG:2449')"}, "OUTPUTS": {"": "E:/G\u7a7a\u9593\u60c5\u5831\u30bb\u30f3\u30bf\u30fc/23\u611b\u77e5\u770c/79\u6771\u4e09\u6cb3\u68ee\u6797\u8a08\u753b\u533aTKY2JGD/\u7b2c7\u7cfb/\u6797\u73ed\u533a\u753b.fgb"}}</t>
  </si>
  <si>
    <t>{"PARAMETERS": {"2": "'E:/G\u7a7a\u9593\u60c5\u5831\u30bb\u30f3\u30bf\u30fc/23\u611b\u77e5\u770c/79\u6771\u4e09\u6cb3\u68ee\u6797\u8a08\u753b\u533a/\u7b2c7\u7cfb/\u5c0f\u73ed\u754c.shp'", "crsjgd2000": "QgsCoordinateReferenceSystem('EPSG:2449')"}, "OUTPUTS": {"": "E:/G\u7a7a\u9593\u60c5\u5831\u30bb\u30f3\u30bf\u30fc/23\u611b\u77e5\u770c/79\u6771\u4e09\u6cb3\u68ee\u6797\u8a08\u753b\u533aTKY2JGD/\u7b2c7\u7cfb/\u5c0f\u73ed\u754c.fgb"}}</t>
  </si>
  <si>
    <t>{"PARAMETERS": {"2": "'E:/G\u7a7a\u9593\u60c5\u5831\u30bb\u30f3\u30bf\u30fc/23\u611b\u77e5\u770c/79\u6771\u4e09\u6cb3\u68ee\u6797\u8a08\u753b\u533a/\u7b2c7\u7cfb/\u5c0f\u73ed\u533a\u753b.shp'", "crsjgd2000": "QgsCoordinateReferenceSystem('EPSG:2449')"}, "OUTPUTS": {"": "E:/G\u7a7a\u9593\u60c5\u5831\u30bb\u30f3\u30bf\u30fc/23\u611b\u77e5\u770c/79\u6771\u4e09\u6cb3\u68ee\u6797\u8a08\u753b\u533aTKY2JGD/\u7b2c7\u7cfb/\u5c0f\u73ed\u533a\u753b.fgb"}}</t>
  </si>
  <si>
    <t>{"PARAMETERS": {"2": "'E:/G\u7a7a\u9593\u60c5\u5831\u30bb\u30f3\u30bf\u30fc/23\u611b\u77e5\u770c/79\u6771\u4e09\u6cb3\u68ee\u6797\u8a08\u753b\u533a/\u7b2c7\u7cfb/\u6797\u9053.shp'", "crsjgd2000": "QgsCoordinateReferenceSystem('EPSG:2449')"}, "OUTPUTS": {"": "E:/G\u7a7a\u9593\u60c5\u5831\u30bb\u30f3\u30bf\u30fc/23\u611b\u77e5\u770c/79\u6771\u4e09\u6cb3\u68ee\u6797\u8a08\u753b\u533aTKY2JGD/\u7b2c7\u7cfb/\u6797\u9053.fgb"}}</t>
  </si>
  <si>
    <t>{"PARAMETERS": {"2": "'E:/G\u7a7a\u9593\u60c5\u5831\u30bb\u30f3\u30bf\u30fc/23\u611b\u77e5\u770c/79\u6771\u4e09\u6cb3\u68ee\u6797\u8a08\u753b\u533a/\u7b2c7\u7cfb/\u4f5c\u696d\u9053.shp'", "crsjgd2000": "QgsCoordinateReferenceSystem('EPSG:2449')"}, "OUTPUTS": {"": "E:/G\u7a7a\u9593\u60c5\u5831\u30bb\u30f3\u30bf\u30fc/23\u611b\u77e5\u770c/79\u6771\u4e09\u6cb3\u68ee\u6797\u8a08\u753b\u533aTKY2JGD/\u7b2c7\u7cfb/\u4f5c\u696d\u9053.fgb"}}</t>
  </si>
  <si>
    <t>{"PARAMETERS": {"2": "'E:/G\u7a7a\u9593\u60c5\u5831\u30bb\u30f3\u30bf\u30fc/23\u611b\u77e5\u770c/79\u6771\u4e09\u6cb3\u68ee\u6797\u8a08\u753b\u533a/\u7b2c7\u7cfb/\u7b49\u9ad8\u7dda10m\u9593\u9694.shp'", "crsjgd2000": "QgsCoordinateReferenceSystem('EPSG:2449')"}, "OUTPUTS": {"": "E:/G\u7a7a\u9593\u60c5\u5831\u30bb\u30f3\u30bf\u30fc/23\u611b\u77e5\u770c/79\u6771\u4e09\u6cb3\u68ee\u6797\u8a08\u753b\u533aTKY2JGD/\u7b2c7\u7cfb/\u7b49\u9ad8\u7dda10m\u9593\u9694.fgb"}}</t>
  </si>
  <si>
    <t>{"PARAMETERS": {"2": "'E:/G\u7a7a\u9593\u60c5\u5831\u30bb\u30f3\u30bf\u30fc/24\u4e09\u91cd\u770c/80\u4f0a\u8cc0\u68ee\u6797\u8a08\u753b\u533a/\u7b2c6\u7cfb/\u5883\u754c.shp'", "crsjgd2000": "QgsCoordinateReferenceSystem('EPSG:2448')"}, "OUTPUTS": {"": "E:/G\u7a7a\u9593\u60c5\u5831\u30bb\u30f3\u30bf\u30fc/24\u4e09\u91cd\u770c/80\u4f0a\u8cc0\u68ee\u6797\u8a08\u753b\u533aTKY2JGD/\u7b2c6\u7cfb/\u5883\u754c.fgb"}}</t>
  </si>
  <si>
    <t>{"PARAMETERS": {"2": "'E:/G\u7a7a\u9593\u60c5\u5831\u30bb\u30f3\u30bf\u30fc/24\u4e09\u91cd\u770c/80\u4f0a\u8cc0\u68ee\u6797\u8a08\u753b\u533a/\u7b2c6\u7cfb/\u6797\u73ed\u754c.shp'", "crsjgd2000": "QgsCoordinateReferenceSystem('EPSG:2448')"}, "OUTPUTS": {"": "E:/G\u7a7a\u9593\u60c5\u5831\u30bb\u30f3\u30bf\u30fc/24\u4e09\u91cd\u770c/80\u4f0a\u8cc0\u68ee\u6797\u8a08\u753b\u533aTKY2JGD/\u7b2c6\u7cfb/\u6797\u73ed\u754c.fgb"}}</t>
  </si>
  <si>
    <t>{"PARAMETERS": {"2": "'E:/G\u7a7a\u9593\u60c5\u5831\u30bb\u30f3\u30bf\u30fc/24\u4e09\u91cd\u770c/80\u4f0a\u8cc0\u68ee\u6797\u8a08\u753b\u533a/\u7b2c6\u7cfb/\u6797\u73ed\u533a\u753b.shp'", "crsjgd2000": "QgsCoordinateReferenceSystem('EPSG:2448')"}, "OUTPUTS": {"": "E:/G\u7a7a\u9593\u60c5\u5831\u30bb\u30f3\u30bf\u30fc/24\u4e09\u91cd\u770c/80\u4f0a\u8cc0\u68ee\u6797\u8a08\u753b\u533aTKY2JGD/\u7b2c6\u7cfb/\u6797\u73ed\u533a\u753b.fgb"}}</t>
  </si>
  <si>
    <t>{"PARAMETERS": {"2": "'E:/G\u7a7a\u9593\u60c5\u5831\u30bb\u30f3\u30bf\u30fc/24\u4e09\u91cd\u770c/80\u4f0a\u8cc0\u68ee\u6797\u8a08\u753b\u533a/\u7b2c6\u7cfb/\u5c0f\u73ed\u754c.shp'", "crsjgd2000": "QgsCoordinateReferenceSystem('EPSG:2448')"}, "OUTPUTS": {"": "E:/G\u7a7a\u9593\u60c5\u5831\u30bb\u30f3\u30bf\u30fc/24\u4e09\u91cd\u770c/80\u4f0a\u8cc0\u68ee\u6797\u8a08\u753b\u533aTKY2JGD/\u7b2c6\u7cfb/\u5c0f\u73ed\u754c.fgb"}}</t>
  </si>
  <si>
    <t>{"PARAMETERS": {"2": "'E:/G\u7a7a\u9593\u60c5\u5831\u30bb\u30f3\u30bf\u30fc/24\u4e09\u91cd\u770c/80\u4f0a\u8cc0\u68ee\u6797\u8a08\u753b\u533a/\u7b2c6\u7cfb/\u5c0f\u73ed\u533a\u753b.shp'", "crsjgd2000": "QgsCoordinateReferenceSystem('EPSG:2448')"}, "OUTPUTS": {"": "E:/G\u7a7a\u9593\u60c5\u5831\u30bb\u30f3\u30bf\u30fc/24\u4e09\u91cd\u770c/80\u4f0a\u8cc0\u68ee\u6797\u8a08\u753b\u533aTKY2JGD/\u7b2c6\u7cfb/\u5c0f\u73ed\u533a\u753b.fgb"}}</t>
  </si>
  <si>
    <t>{"PARAMETERS": {"2": "'E:/G\u7a7a\u9593\u60c5\u5831\u30bb\u30f3\u30bf\u30fc/24\u4e09\u91cd\u770c/80\u4f0a\u8cc0\u68ee\u6797\u8a08\u753b\u533a/\u7b2c6\u7cfb/\u6797\u9053.shp'", "crsjgd2000": "QgsCoordinateReferenceSystem('EPSG:2448')"}, "OUTPUTS": {"": "E:/G\u7a7a\u9593\u60c5\u5831\u30bb\u30f3\u30bf\u30fc/24\u4e09\u91cd\u770c/80\u4f0a\u8cc0\u68ee\u6797\u8a08\u753b\u533aTKY2JGD/\u7b2c6\u7cfb/\u6797\u9053.fgb"}}</t>
  </si>
  <si>
    <t>{"PARAMETERS": {"2": "'E:/G\u7a7a\u9593\u60c5\u5831\u30bb\u30f3\u30bf\u30fc/24\u4e09\u91cd\u770c/80\u4f0a\u8cc0\u68ee\u6797\u8a08\u753b\u533a/\u7b2c6\u7cfb/\u4f5c\u696d\u9053.shp'", "crsjgd2000": "QgsCoordinateReferenceSystem('EPSG:2448')"}, "OUTPUTS": {"": "E:/G\u7a7a\u9593\u60c5\u5831\u30bb\u30f3\u30bf\u30fc/24\u4e09\u91cd\u770c/80\u4f0a\u8cc0\u68ee\u6797\u8a08\u753b\u533aTKY2JGD/\u7b2c6\u7cfb/\u4f5c\u696d\u9053.fgb"}}</t>
  </si>
  <si>
    <t>{"PARAMETERS": {"2": "'E:/G\u7a7a\u9593\u60c5\u5831\u30bb\u30f3\u30bf\u30fc/24\u4e09\u91cd\u770c/80\u4f0a\u8cc0\u68ee\u6797\u8a08\u753b\u533a/\u7b2c6\u7cfb/\u7b49\u9ad8\u7dda10m\u9593\u9694.shp'", "crsjgd2000": "QgsCoordinateReferenceSystem('EPSG:2448')"}, "OUTPUTS": {"": "E:/G\u7a7a\u9593\u60c5\u5831\u30bb\u30f3\u30bf\u30fc/24\u4e09\u91cd\u770c/80\u4f0a\u8cc0\u68ee\u6797\u8a08\u753b\u533aTKY2JGD/\u7b2c6\u7cfb/\u7b49\u9ad8\u7dda10m\u9593\u9694.fgb"}}</t>
  </si>
  <si>
    <t>{"PARAMETERS": {"2": "'E:/G\u7a7a\u9593\u60c5\u5831\u30bb\u30f3\u30bf\u30fc/24\u4e09\u91cd\u770c/81\u5317\u4f0a\u52e2\u68ee\u6797\u8a08\u753b\u533a/\u7b2c6\u7cfb/\u5883\u754c.shp'", "crsjgd2000": "QgsCoordinateReferenceSystem('EPSG:2448')"}, "OUTPUTS": {"": "E:/G\u7a7a\u9593\u60c5\u5831\u30bb\u30f3\u30bf\u30fc/24\u4e09\u91cd\u770c/81\u5317\u4f0a\u52e2\u68ee\u6797\u8a08\u753b\u533aTKY2JGD/\u7b2c6\u7cfb/\u5883\u754c.fgb"}}</t>
  </si>
  <si>
    <t>{"PARAMETERS": {"2": "'E:/G\u7a7a\u9593\u60c5\u5831\u30bb\u30f3\u30bf\u30fc/24\u4e09\u91cd\u770c/81\u5317\u4f0a\u52e2\u68ee\u6797\u8a08\u753b\u533a/\u7b2c6\u7cfb/\u6797\u73ed\u754c.shp'", "crsjgd2000": "QgsCoordinateReferenceSystem('EPSG:2448')"}, "OUTPUTS": {"": "E:/G\u7a7a\u9593\u60c5\u5831\u30bb\u30f3\u30bf\u30fc/24\u4e09\u91cd\u770c/81\u5317\u4f0a\u52e2\u68ee\u6797\u8a08\u753b\u533aTKY2JGD/\u7b2c6\u7cfb/\u6797\u73ed\u754c.fgb"}}</t>
  </si>
  <si>
    <t>{"PARAMETERS": {"2": "'E:/G\u7a7a\u9593\u60c5\u5831\u30bb\u30f3\u30bf\u30fc/24\u4e09\u91cd\u770c/81\u5317\u4f0a\u52e2\u68ee\u6797\u8a08\u753b\u533a/\u7b2c6\u7cfb/\u6797\u73ed\u533a\u753b.shp'", "crsjgd2000": "QgsCoordinateReferenceSystem('EPSG:2448')"}, "OUTPUTS": {"": "E:/G\u7a7a\u9593\u60c5\u5831\u30bb\u30f3\u30bf\u30fc/24\u4e09\u91cd\u770c/81\u5317\u4f0a\u52e2\u68ee\u6797\u8a08\u753b\u533aTKY2JGD/\u7b2c6\u7cfb/\u6797\u73ed\u533a\u753b.fgb"}}</t>
  </si>
  <si>
    <t>{"PARAMETERS": {"2": "'E:/G\u7a7a\u9593\u60c5\u5831\u30bb\u30f3\u30bf\u30fc/24\u4e09\u91cd\u770c/81\u5317\u4f0a\u52e2\u68ee\u6797\u8a08\u753b\u533a/\u7b2c6\u7cfb/\u5c0f\u73ed\u754c.shp'", "crsjgd2000": "QgsCoordinateReferenceSystem('EPSG:2448')"}, "OUTPUTS": {"": "E:/G\u7a7a\u9593\u60c5\u5831\u30bb\u30f3\u30bf\u30fc/24\u4e09\u91cd\u770c/81\u5317\u4f0a\u52e2\u68ee\u6797\u8a08\u753b\u533aTKY2JGD/\u7b2c6\u7cfb/\u5c0f\u73ed\u754c.fgb"}}</t>
  </si>
  <si>
    <t>{"PARAMETERS": {"2": "'E:/G\u7a7a\u9593\u60c5\u5831\u30bb\u30f3\u30bf\u30fc/24\u4e09\u91cd\u770c/81\u5317\u4f0a\u52e2\u68ee\u6797\u8a08\u753b\u533a/\u7b2c6\u7cfb/\u5c0f\u73ed\u533a\u753b.shp'", "crsjgd2000": "QgsCoordinateReferenceSystem('EPSG:2448')"}, "OUTPUTS": {"": "E:/G\u7a7a\u9593\u60c5\u5831\u30bb\u30f3\u30bf\u30fc/24\u4e09\u91cd\u770c/81\u5317\u4f0a\u52e2\u68ee\u6797\u8a08\u753b\u533aTKY2JGD/\u7b2c6\u7cfb/\u5c0f\u73ed\u533a\u753b.fgb"}}</t>
  </si>
  <si>
    <t>{"PARAMETERS": {"2": "'E:/G\u7a7a\u9593\u60c5\u5831\u30bb\u30f3\u30bf\u30fc/24\u4e09\u91cd\u770c/81\u5317\u4f0a\u52e2\u68ee\u6797\u8a08\u753b\u533a/\u7b2c6\u7cfb/\u6797\u9053.shp'", "crsjgd2000": "QgsCoordinateReferenceSystem('EPSG:2448')"}, "OUTPUTS": {"": "E:/G\u7a7a\u9593\u60c5\u5831\u30bb\u30f3\u30bf\u30fc/24\u4e09\u91cd\u770c/81\u5317\u4f0a\u52e2\u68ee\u6797\u8a08\u753b\u533aTKY2JGD/\u7b2c6\u7cfb/\u6797\u9053.fgb"}}</t>
  </si>
  <si>
    <t>{"PARAMETERS": {"2": "'E:/G\u7a7a\u9593\u60c5\u5831\u30bb\u30f3\u30bf\u30fc/24\u4e09\u91cd\u770c/81\u5317\u4f0a\u52e2\u68ee\u6797\u8a08\u753b\u533a/\u7b2c6\u7cfb/\u4f5c\u696d\u9053.shp'", "crsjgd2000": "QgsCoordinateReferenceSystem('EPSG:2448')"}, "OUTPUTS": {"": "E:/G\u7a7a\u9593\u60c5\u5831\u30bb\u30f3\u30bf\u30fc/24\u4e09\u91cd\u770c/81\u5317\u4f0a\u52e2\u68ee\u6797\u8a08\u753b\u533aTKY2JGD/\u7b2c6\u7cfb/\u4f5c\u696d\u9053.fgb"}}</t>
  </si>
  <si>
    <t>{"PARAMETERS": {"2": "'E:/G\u7a7a\u9593\u60c5\u5831\u30bb\u30f3\u30bf\u30fc/24\u4e09\u91cd\u770c/81\u5317\u4f0a\u52e2\u68ee\u6797\u8a08\u753b\u533a/\u7b2c6\u7cfb/\u7b49\u9ad8\u7dda10m\u9593\u9694.shp'", "crsjgd2000": "QgsCoordinateReferenceSystem('EPSG:2448')"}, "OUTPUTS": {"": "E:/G\u7a7a\u9593\u60c5\u5831\u30bb\u30f3\u30bf\u30fc/24\u4e09\u91cd\u770c/81\u5317\u4f0a\u52e2\u68ee\u6797\u8a08\u753b\u533aTKY2JGD/\u7b2c6\u7cfb/\u7b49\u9ad8\u7dda10m\u9593\u9694.fgb"}}</t>
  </si>
  <si>
    <t>{"PARAMETERS": {"2": "'E:/G\u7a7a\u9593\u60c5\u5831\u30bb\u30f3\u30bf\u30fc/24\u4e09\u91cd\u770c/82\u5357\u4f0a\u52e2\u68ee\u6797\u8a08\u753b\u533a/\u7b2c6\u7cfb/\u5883\u754c.shp'", "crsjgd2000": "QgsCoordinateReferenceSystem('EPSG:2448')"}, "OUTPUTS": {"": "E:/G\u7a7a\u9593\u60c5\u5831\u30bb\u30f3\u30bf\u30fc/24\u4e09\u91cd\u770c/82\u5357\u4f0a\u52e2\u68ee\u6797\u8a08\u753b\u533aTKY2JGD/\u7b2c6\u7cfb/\u5883\u754c.fgb"}}</t>
  </si>
  <si>
    <t>{"PARAMETERS": {"2": "'E:/G\u7a7a\u9593\u60c5\u5831\u30bb\u30f3\u30bf\u30fc/24\u4e09\u91cd\u770c/82\u5357\u4f0a\u52e2\u68ee\u6797\u8a08\u753b\u533a/\u7b2c6\u7cfb/\u6797\u73ed\u754c.shp'", "crsjgd2000": "QgsCoordinateReferenceSystem('EPSG:2448')"}, "OUTPUTS": {"": "E:/G\u7a7a\u9593\u60c5\u5831\u30bb\u30f3\u30bf\u30fc/24\u4e09\u91cd\u770c/82\u5357\u4f0a\u52e2\u68ee\u6797\u8a08\u753b\u533aTKY2JGD/\u7b2c6\u7cfb/\u6797\u73ed\u754c.fgb"}}</t>
  </si>
  <si>
    <t>{"PARAMETERS": {"2": "'E:/G\u7a7a\u9593\u60c5\u5831\u30bb\u30f3\u30bf\u30fc/24\u4e09\u91cd\u770c/82\u5357\u4f0a\u52e2\u68ee\u6797\u8a08\u753b\u533a/\u7b2c6\u7cfb/\u6797\u73ed\u533a\u753b.shp'", "crsjgd2000": "QgsCoordinateReferenceSystem('EPSG:2448')"}, "OUTPUTS": {"": "E:/G\u7a7a\u9593\u60c5\u5831\u30bb\u30f3\u30bf\u30fc/24\u4e09\u91cd\u770c/82\u5357\u4f0a\u52e2\u68ee\u6797\u8a08\u753b\u533aTKY2JGD/\u7b2c6\u7cfb/\u6797\u73ed\u533a\u753b.fgb"}}</t>
  </si>
  <si>
    <t>{"PARAMETERS": {"2": "'E:/G\u7a7a\u9593\u60c5\u5831\u30bb\u30f3\u30bf\u30fc/24\u4e09\u91cd\u770c/82\u5357\u4f0a\u52e2\u68ee\u6797\u8a08\u753b\u533a/\u7b2c6\u7cfb/\u5c0f\u73ed\u754c.shp'", "crsjgd2000": "QgsCoordinateReferenceSystem('EPSG:2448')"}, "OUTPUTS": {"": "E:/G\u7a7a\u9593\u60c5\u5831\u30bb\u30f3\u30bf\u30fc/24\u4e09\u91cd\u770c/82\u5357\u4f0a\u52e2\u68ee\u6797\u8a08\u753b\u533aTKY2JGD/\u7b2c6\u7cfb/\u5c0f\u73ed\u754c.fgb"}}</t>
  </si>
  <si>
    <t>{"PARAMETERS": {"2": "'E:/G\u7a7a\u9593\u60c5\u5831\u30bb\u30f3\u30bf\u30fc/24\u4e09\u91cd\u770c/82\u5357\u4f0a\u52e2\u68ee\u6797\u8a08\u753b\u533a/\u7b2c6\u7cfb/\u5c0f\u73ed\u533a\u753b.shp'", "crsjgd2000": "QgsCoordinateReferenceSystem('EPSG:2448')"}, "OUTPUTS": {"": "E:/G\u7a7a\u9593\u60c5\u5831\u30bb\u30f3\u30bf\u30fc/24\u4e09\u91cd\u770c/82\u5357\u4f0a\u52e2\u68ee\u6797\u8a08\u753b\u533aTKY2JGD/\u7b2c6\u7cfb/\u5c0f\u73ed\u533a\u753b.fgb"}}</t>
  </si>
  <si>
    <t>{"PARAMETERS": {"2": "'E:/G\u7a7a\u9593\u60c5\u5831\u30bb\u30f3\u30bf\u30fc/24\u4e09\u91cd\u770c/82\u5357\u4f0a\u52e2\u68ee\u6797\u8a08\u753b\u533a/\u7b2c6\u7cfb/\u6797\u9053.shp'", "crsjgd2000": "QgsCoordinateReferenceSystem('EPSG:2448')"}, "OUTPUTS": {"": "E:/G\u7a7a\u9593\u60c5\u5831\u30bb\u30f3\u30bf\u30fc/24\u4e09\u91cd\u770c/82\u5357\u4f0a\u52e2\u68ee\u6797\u8a08\u753b\u533aTKY2JGD/\u7b2c6\u7cfb/\u6797\u9053.fgb"}}</t>
  </si>
  <si>
    <t>{"PARAMETERS": {"2": "'E:/G\u7a7a\u9593\u60c5\u5831\u30bb\u30f3\u30bf\u30fc/24\u4e09\u91cd\u770c/82\u5357\u4f0a\u52e2\u68ee\u6797\u8a08\u753b\u533a/\u7b2c6\u7cfb/\u4f5c\u696d\u9053.shp'", "crsjgd2000": "QgsCoordinateReferenceSystem('EPSG:2448')"}, "OUTPUTS": {"": "E:/G\u7a7a\u9593\u60c5\u5831\u30bb\u30f3\u30bf\u30fc/24\u4e09\u91cd\u770c/82\u5357\u4f0a\u52e2\u68ee\u6797\u8a08\u753b\u533aTKY2JGD/\u7b2c6\u7cfb/\u4f5c\u696d\u9053.fgb"}}</t>
  </si>
  <si>
    <t>{"PARAMETERS": {"2": "'E:/G\u7a7a\u9593\u60c5\u5831\u30bb\u30f3\u30bf\u30fc/24\u4e09\u91cd\u770c/82\u5357\u4f0a\u52e2\u68ee\u6797\u8a08\u753b\u533a/\u7b2c6\u7cfb/\u7b49\u9ad8\u7dda10m\u9593\u9694.shp'", "crsjgd2000": "QgsCoordinateReferenceSystem('EPSG:2448')"}, "OUTPUTS": {"": "E:/G\u7a7a\u9593\u60c5\u5831\u30bb\u30f3\u30bf\u30fc/24\u4e09\u91cd\u770c/82\u5357\u4f0a\u52e2\u68ee\u6797\u8a08\u753b\u533aTKY2JGD/\u7b2c6\u7cfb/\u7b49\u9ad8\u7dda10m\u9593\u9694.fgb"}}</t>
  </si>
  <si>
    <t>{"PARAMETERS": {"2": "'E:/G\u7a7a\u9593\u60c5\u5831\u30bb\u30f3\u30bf\u30fc/24\u4e09\u91cd\u770c/83\u5c3e\u9df2\u718a\u91ce\u68ee\u6797\u8a08\u753b\u533a/\u7b2c6\u7cfb/\u5883\u754c.shp'", "crsjgd2000": "QgsCoordinateReferenceSystem('EPSG:2448')"}, "OUTPUTS": {"": "E:/G\u7a7a\u9593\u60c5\u5831\u30bb\u30f3\u30bf\u30fc/24\u4e09\u91cd\u770c/83\u5c3e\u9df2\u718a\u91ce\u68ee\u6797\u8a08\u753b\u533aTKY2JGD/\u7b2c6\u7cfb/\u5883\u754c.fgb"}}</t>
  </si>
  <si>
    <t>{"PARAMETERS": {"2": "'E:/G\u7a7a\u9593\u60c5\u5831\u30bb\u30f3\u30bf\u30fc/24\u4e09\u91cd\u770c/83\u5c3e\u9df2\u718a\u91ce\u68ee\u6797\u8a08\u753b\u533a/\u7b2c6\u7cfb/\u6797\u73ed\u754c.shp'", "crsjgd2000": "QgsCoordinateReferenceSystem('EPSG:2448')"}, "OUTPUTS": {"": "E:/G\u7a7a\u9593\u60c5\u5831\u30bb\u30f3\u30bf\u30fc/24\u4e09\u91cd\u770c/83\u5c3e\u9df2\u718a\u91ce\u68ee\u6797\u8a08\u753b\u533aTKY2JGD/\u7b2c6\u7cfb/\u6797\u73ed\u754c.fgb"}}</t>
  </si>
  <si>
    <t>{"PARAMETERS": {"2": "'E:/G\u7a7a\u9593\u60c5\u5831\u30bb\u30f3\u30bf\u30fc/24\u4e09\u91cd\u770c/83\u5c3e\u9df2\u718a\u91ce\u68ee\u6797\u8a08\u753b\u533a/\u7b2c6\u7cfb/\u6797\u73ed\u533a\u753b.shp'", "crsjgd2000": "QgsCoordinateReferenceSystem('EPSG:2448')"}, "OUTPUTS": {"": "E:/G\u7a7a\u9593\u60c5\u5831\u30bb\u30f3\u30bf\u30fc/24\u4e09\u91cd\u770c/83\u5c3e\u9df2\u718a\u91ce\u68ee\u6797\u8a08\u753b\u533aTKY2JGD/\u7b2c6\u7cfb/\u6797\u73ed\u533a\u753b.fgb"}}</t>
  </si>
  <si>
    <t>{"PARAMETERS": {"2": "'E:/G\u7a7a\u9593\u60c5\u5831\u30bb\u30f3\u30bf\u30fc/24\u4e09\u91cd\u770c/83\u5c3e\u9df2\u718a\u91ce\u68ee\u6797\u8a08\u753b\u533a/\u7b2c6\u7cfb/\u5c0f\u73ed\u754c.shp'", "crsjgd2000": "QgsCoordinateReferenceSystem('EPSG:2448')"}, "OUTPUTS": {"": "E:/G\u7a7a\u9593\u60c5\u5831\u30bb\u30f3\u30bf\u30fc/24\u4e09\u91cd\u770c/83\u5c3e\u9df2\u718a\u91ce\u68ee\u6797\u8a08\u753b\u533aTKY2JGD/\u7b2c6\u7cfb/\u5c0f\u73ed\u754c.fgb"}}</t>
  </si>
  <si>
    <t>{"PARAMETERS": {"2": "'E:/G\u7a7a\u9593\u60c5\u5831\u30bb\u30f3\u30bf\u30fc/24\u4e09\u91cd\u770c/83\u5c3e\u9df2\u718a\u91ce\u68ee\u6797\u8a08\u753b\u533a/\u7b2c6\u7cfb/\u5c0f\u73ed\u533a\u753b.shp'", "crsjgd2000": "QgsCoordinateReferenceSystem('EPSG:2448')"}, "OUTPUTS": {"": "E:/G\u7a7a\u9593\u60c5\u5831\u30bb\u30f3\u30bf\u30fc/24\u4e09\u91cd\u770c/83\u5c3e\u9df2\u718a\u91ce\u68ee\u6797\u8a08\u753b\u533aTKY2JGD/\u7b2c6\u7cfb/\u5c0f\u73ed\u533a\u753b.fgb"}}</t>
  </si>
  <si>
    <t>{"PARAMETERS": {"2": "'E:/G\u7a7a\u9593\u60c5\u5831\u30bb\u30f3\u30bf\u30fc/24\u4e09\u91cd\u770c/83\u5c3e\u9df2\u718a\u91ce\u68ee\u6797\u8a08\u753b\u533a/\u7b2c6\u7cfb/\u6797\u9053.shp'", "crsjgd2000": "QgsCoordinateReferenceSystem('EPSG:2448')"}, "OUTPUTS": {"": "E:/G\u7a7a\u9593\u60c5\u5831\u30bb\u30f3\u30bf\u30fc/24\u4e09\u91cd\u770c/83\u5c3e\u9df2\u718a\u91ce\u68ee\u6797\u8a08\u753b\u533aTKY2JGD/\u7b2c6\u7cfb/\u6797\u9053.fgb"}}</t>
  </si>
  <si>
    <t>{"PARAMETERS": {"2": "'E:/G\u7a7a\u9593\u60c5\u5831\u30bb\u30f3\u30bf\u30fc/24\u4e09\u91cd\u770c/83\u5c3e\u9df2\u718a\u91ce\u68ee\u6797\u8a08\u753b\u533a/\u7b2c6\u7cfb/\u4f5c\u696d\u9053.shp'", "crsjgd2000": "QgsCoordinateReferenceSystem('EPSG:2448')"}, "OUTPUTS": {"": "E:/G\u7a7a\u9593\u60c5\u5831\u30bb\u30f3\u30bf\u30fc/24\u4e09\u91cd\u770c/83\u5c3e\u9df2\u718a\u91ce\u68ee\u6797\u8a08\u753b\u533aTKY2JGD/\u7b2c6\u7cfb/\u4f5c\u696d\u9053.fgb"}}</t>
  </si>
  <si>
    <t>{"PARAMETERS": {"2": "'E:/G\u7a7a\u9593\u60c5\u5831\u30bb\u30f3\u30bf\u30fc/24\u4e09\u91cd\u770c/83\u5c3e\u9df2\u718a\u91ce\u68ee\u6797\u8a08\u753b\u533a/\u7b2c6\u7cfb/\u7b49\u9ad8\u7dda10m\u9593\u9694.shp'", "crsjgd2000": "QgsCoordinateReferenceSystem('EPSG:2448')"}, "OUTPUTS": {"": "E:/G\u7a7a\u9593\u60c5\u5831\u30bb\u30f3\u30bf\u30fc/24\u4e09\u91cd\u770c/83\u5c3e\u9df2\u718a\u91ce\u68ee\u6797\u8a08\u753b\u533aTKY2JGD/\u7b2c6\u7cfb/\u7b49\u9ad8\u7dda10m\u9593\u9694.fgb"}}</t>
  </si>
  <si>
    <t>{"PARAMETERS": {"2": "'E:/G\u7a7a\u9593\u60c5\u5831\u30bb\u30f3\u30bf\u30fc/25\u6ecb\u8cc0\u770c/84\u6e56\u5317\u68ee\u6797\u8a08\u753b\u533a/\u7b2c6\u7cfb/\u5883\u754c.shp'", "crsjgd2000": "QgsCoordinateReferenceSystem('EPSG:2448')"}, "OUTPUTS": {"": "E:/G\u7a7a\u9593\u60c5\u5831\u30bb\u30f3\u30bf\u30fc/25\u6ecb\u8cc0\u770c/84\u6e56\u5317\u68ee\u6797\u8a08\u753b\u533aTKY2JGD/\u7b2c6\u7cfb/\u5883\u754c.fgb"}}</t>
  </si>
  <si>
    <t>{"PARAMETERS": {"2": "'E:/G\u7a7a\u9593\u60c5\u5831\u30bb\u30f3\u30bf\u30fc/25\u6ecb\u8cc0\u770c/84\u6e56\u5317\u68ee\u6797\u8a08\u753b\u533a/\u7b2c6\u7cfb/\u6797\u73ed\u754c.shp'", "crsjgd2000": "QgsCoordinateReferenceSystem('EPSG:2448')"}, "OUTPUTS": {"": "E:/G\u7a7a\u9593\u60c5\u5831\u30bb\u30f3\u30bf\u30fc/25\u6ecb\u8cc0\u770c/84\u6e56\u5317\u68ee\u6797\u8a08\u753b\u533aTKY2JGD/\u7b2c6\u7cfb/\u6797\u73ed\u754c.fgb"}}</t>
  </si>
  <si>
    <t>{"PARAMETERS": {"2": "'E:/G\u7a7a\u9593\u60c5\u5831\u30bb\u30f3\u30bf\u30fc/25\u6ecb\u8cc0\u770c/84\u6e56\u5317\u68ee\u6797\u8a08\u753b\u533a/\u7b2c6\u7cfb/\u6797\u73ed\u533a\u753b.shp'", "crsjgd2000": "QgsCoordinateReferenceSystem('EPSG:2448')"}, "OUTPUTS": {"": "E:/G\u7a7a\u9593\u60c5\u5831\u30bb\u30f3\u30bf\u30fc/25\u6ecb\u8cc0\u770c/84\u6e56\u5317\u68ee\u6797\u8a08\u753b\u533aTKY2JGD/\u7b2c6\u7cfb/\u6797\u73ed\u533a\u753b.fgb"}}</t>
  </si>
  <si>
    <t>{"PARAMETERS": {"2": "'E:/G\u7a7a\u9593\u60c5\u5831\u30bb\u30f3\u30bf\u30fc/25\u6ecb\u8cc0\u770c/84\u6e56\u5317\u68ee\u6797\u8a08\u753b\u533a/\u7b2c6\u7cfb/\u5c0f\u73ed\u754c.shp'", "crsjgd2000": "QgsCoordinateReferenceSystem('EPSG:2448')"}, "OUTPUTS": {"": "E:/G\u7a7a\u9593\u60c5\u5831\u30bb\u30f3\u30bf\u30fc/25\u6ecb\u8cc0\u770c/84\u6e56\u5317\u68ee\u6797\u8a08\u753b\u533aTKY2JGD/\u7b2c6\u7cfb/\u5c0f\u73ed\u754c.fgb"}}</t>
  </si>
  <si>
    <t>{"PARAMETERS": {"2": "'E:/G\u7a7a\u9593\u60c5\u5831\u30bb\u30f3\u30bf\u30fc/25\u6ecb\u8cc0\u770c/84\u6e56\u5317\u68ee\u6797\u8a08\u753b\u533a/\u7b2c6\u7cfb/\u5c0f\u73ed\u533a\u753b.shp'", "crsjgd2000": "QgsCoordinateReferenceSystem('EPSG:2448')"}, "OUTPUTS": {"": "E:/G\u7a7a\u9593\u60c5\u5831\u30bb\u30f3\u30bf\u30fc/25\u6ecb\u8cc0\u770c/84\u6e56\u5317\u68ee\u6797\u8a08\u753b\u533aTKY2JGD/\u7b2c6\u7cfb/\u5c0f\u73ed\u533a\u753b.fgb"}}</t>
  </si>
  <si>
    <t>{"PARAMETERS": {"2": "'E:/G\u7a7a\u9593\u60c5\u5831\u30bb\u30f3\u30bf\u30fc/25\u6ecb\u8cc0\u770c/84\u6e56\u5317\u68ee\u6797\u8a08\u753b\u533a/\u7b2c6\u7cfb/\u6797\u9053.shp'", "crsjgd2000": "QgsCoordinateReferenceSystem('EPSG:2448')"}, "OUTPUTS": {"": "E:/G\u7a7a\u9593\u60c5\u5831\u30bb\u30f3\u30bf\u30fc/25\u6ecb\u8cc0\u770c/84\u6e56\u5317\u68ee\u6797\u8a08\u753b\u533aTKY2JGD/\u7b2c6\u7cfb/\u6797\u9053.fgb"}}</t>
  </si>
  <si>
    <t>{"PARAMETERS": {"2": "'E:/G\u7a7a\u9593\u60c5\u5831\u30bb\u30f3\u30bf\u30fc/25\u6ecb\u8cc0\u770c/84\u6e56\u5317\u68ee\u6797\u8a08\u753b\u533a/\u7b2c6\u7cfb/\u4f5c\u696d\u9053.shp'", "crsjgd2000": "QgsCoordinateReferenceSystem('EPSG:2448')"}, "OUTPUTS": {"": "E:/G\u7a7a\u9593\u60c5\u5831\u30bb\u30f3\u30bf\u30fc/25\u6ecb\u8cc0\u770c/84\u6e56\u5317\u68ee\u6797\u8a08\u753b\u533aTKY2JGD/\u7b2c6\u7cfb/\u4f5c\u696d\u9053.fgb"}}</t>
  </si>
  <si>
    <t>{"PARAMETERS": {"2": "'E:/G\u7a7a\u9593\u60c5\u5831\u30bb\u30f3\u30bf\u30fc/25\u6ecb\u8cc0\u770c/84\u6e56\u5317\u68ee\u6797\u8a08\u753b\u533a/\u7b2c6\u7cfb/\u7b49\u9ad8\u7dda10m\u9593\u9694.shp'", "crsjgd2000": "QgsCoordinateReferenceSystem('EPSG:2448')"}, "OUTPUTS": {"": "E:/G\u7a7a\u9593\u60c5\u5831\u30bb\u30f3\u30bf\u30fc/25\u6ecb\u8cc0\u770c/84\u6e56\u5317\u68ee\u6797\u8a08\u753b\u533aTKY2JGD/\u7b2c6\u7cfb/\u7b49\u9ad8\u7dda10m\u9593\u9694.fgb"}}</t>
  </si>
  <si>
    <t>{"PARAMETERS": {"2": "'E:/G\u7a7a\u9593\u60c5\u5831\u30bb\u30f3\u30bf\u30fc/25\u6ecb\u8cc0\u770c/85\u6e56\u5357\u68ee\u6797\u8a08\u753b\u533a/\u7b2c6\u7cfb/\u5883\u754c.shp'", "crsjgd2000": "QgsCoordinateReferenceSystem('EPSG:2448')"}, "OUTPUTS": {"": "E:/G\u7a7a\u9593\u60c5\u5831\u30bb\u30f3\u30bf\u30fc/25\u6ecb\u8cc0\u770c/85\u6e56\u5357\u68ee\u6797\u8a08\u753b\u533aTKY2JGD/\u7b2c6\u7cfb/\u5883\u754c.fgb"}}</t>
  </si>
  <si>
    <t>{"PARAMETERS": {"2": "'E:/G\u7a7a\u9593\u60c5\u5831\u30bb\u30f3\u30bf\u30fc/25\u6ecb\u8cc0\u770c/85\u6e56\u5357\u68ee\u6797\u8a08\u753b\u533a/\u7b2c6\u7cfb/\u6797\u73ed\u754c.shp'", "crsjgd2000": "QgsCoordinateReferenceSystem('EPSG:2448')"}, "OUTPUTS": {"": "E:/G\u7a7a\u9593\u60c5\u5831\u30bb\u30f3\u30bf\u30fc/25\u6ecb\u8cc0\u770c/85\u6e56\u5357\u68ee\u6797\u8a08\u753b\u533aTKY2JGD/\u7b2c6\u7cfb/\u6797\u73ed\u754c.fgb"}}</t>
  </si>
  <si>
    <t>{"PARAMETERS": {"2": "'E:/G\u7a7a\u9593\u60c5\u5831\u30bb\u30f3\u30bf\u30fc/25\u6ecb\u8cc0\u770c/85\u6e56\u5357\u68ee\u6797\u8a08\u753b\u533a/\u7b2c6\u7cfb/\u6797\u73ed\u533a\u753b.shp'", "crsjgd2000": "QgsCoordinateReferenceSystem('EPSG:2448')"}, "OUTPUTS": {"": "E:/G\u7a7a\u9593\u60c5\u5831\u30bb\u30f3\u30bf\u30fc/25\u6ecb\u8cc0\u770c/85\u6e56\u5357\u68ee\u6797\u8a08\u753b\u533aTKY2JGD/\u7b2c6\u7cfb/\u6797\u73ed\u533a\u753b.fgb"}}</t>
  </si>
  <si>
    <t>{"PARAMETERS": {"2": "'E:/G\u7a7a\u9593\u60c5\u5831\u30bb\u30f3\u30bf\u30fc/25\u6ecb\u8cc0\u770c/85\u6e56\u5357\u68ee\u6797\u8a08\u753b\u533a/\u7b2c6\u7cfb/\u5c0f\u73ed\u754c.shp'", "crsjgd2000": "QgsCoordinateReferenceSystem('EPSG:2448')"}, "OUTPUTS": {"": "E:/G\u7a7a\u9593\u60c5\u5831\u30bb\u30f3\u30bf\u30fc/25\u6ecb\u8cc0\u770c/85\u6e56\u5357\u68ee\u6797\u8a08\u753b\u533aTKY2JGD/\u7b2c6\u7cfb/\u5c0f\u73ed\u754c.fgb"}}</t>
  </si>
  <si>
    <t>{"PARAMETERS": {"2": "'E:/G\u7a7a\u9593\u60c5\u5831\u30bb\u30f3\u30bf\u30fc/25\u6ecb\u8cc0\u770c/85\u6e56\u5357\u68ee\u6797\u8a08\u753b\u533a/\u7b2c6\u7cfb/\u5c0f\u73ed\u533a\u753b.shp'", "crsjgd2000": "QgsCoordinateReferenceSystem('EPSG:2448')"}, "OUTPUTS": {"": "E:/G\u7a7a\u9593\u60c5\u5831\u30bb\u30f3\u30bf\u30fc/25\u6ecb\u8cc0\u770c/85\u6e56\u5357\u68ee\u6797\u8a08\u753b\u533aTKY2JGD/\u7b2c6\u7cfb/\u5c0f\u73ed\u533a\u753b.fgb"}}</t>
  </si>
  <si>
    <t>{"PARAMETERS": {"2": "'E:/G\u7a7a\u9593\u60c5\u5831\u30bb\u30f3\u30bf\u30fc/25\u6ecb\u8cc0\u770c/85\u6e56\u5357\u68ee\u6797\u8a08\u753b\u533a/\u7b2c6\u7cfb/\u6797\u9053.shp'", "crsjgd2000": "QgsCoordinateReferenceSystem('EPSG:2448')"}, "OUTPUTS": {"": "E:/G\u7a7a\u9593\u60c5\u5831\u30bb\u30f3\u30bf\u30fc/25\u6ecb\u8cc0\u770c/85\u6e56\u5357\u68ee\u6797\u8a08\u753b\u533aTKY2JGD/\u7b2c6\u7cfb/\u6797\u9053.fgb"}}</t>
  </si>
  <si>
    <t>{"PARAMETERS": {"2": "'E:/G\u7a7a\u9593\u60c5\u5831\u30bb\u30f3\u30bf\u30fc/25\u6ecb\u8cc0\u770c/85\u6e56\u5357\u68ee\u6797\u8a08\u753b\u533a/\u7b2c6\u7cfb/\u4f5c\u696d\u9053.shp'", "crsjgd2000": "QgsCoordinateReferenceSystem('EPSG:2448')"}, "OUTPUTS": {"": "E:/G\u7a7a\u9593\u60c5\u5831\u30bb\u30f3\u30bf\u30fc/25\u6ecb\u8cc0\u770c/85\u6e56\u5357\u68ee\u6797\u8a08\u753b\u533aTKY2JGD/\u7b2c6\u7cfb/\u4f5c\u696d\u9053.fgb"}}</t>
  </si>
  <si>
    <t>{"PARAMETERS": {"2": "'E:/G\u7a7a\u9593\u60c5\u5831\u30bb\u30f3\u30bf\u30fc/25\u6ecb\u8cc0\u770c/85\u6e56\u5357\u68ee\u6797\u8a08\u753b\u533a/\u7b2c6\u7cfb/\u7b49\u9ad8\u7dda10m\u9593\u9694.shp'", "crsjgd2000": "QgsCoordinateReferenceSystem('EPSG:2448')"}, "OUTPUTS": {"": "E:/G\u7a7a\u9593\u60c5\u5831\u30bb\u30f3\u30bf\u30fc/25\u6ecb\u8cc0\u770c/85\u6e56\u5357\u68ee\u6797\u8a08\u753b\u533aTKY2JGD/\u7b2c6\u7cfb/\u7b49\u9ad8\u7dda10m\u9593\u9694.fgb"}}</t>
  </si>
  <si>
    <t>{"PARAMETERS": {"2": "'E:/G\u7a7a\u9593\u60c5\u5831\u30bb\u30f3\u30bf\u30fc/26\u4eac\u90fd\u5e9c/86\u7531\u826f\u5ddd\u68ee\u6797\u8a08\u753b\u533a/\u7b2c6\u7cfb/\u5883\u754c.shp'", "crsjgd2000": "QgsCoordinateReferenceSystem('EPSG:2448')"}, "OUTPUTS": {"": "E:/G\u7a7a\u9593\u60c5\u5831\u30bb\u30f3\u30bf\u30fc/26\u4eac\u90fd\u5e9c/86\u7531\u826f\u5ddd\u68ee\u6797\u8a08\u753b\u533aTKY2JGD/\u7b2c6\u7cfb/\u5883\u754c.fgb"}}</t>
  </si>
  <si>
    <t>{"PARAMETERS": {"2": "'E:/G\u7a7a\u9593\u60c5\u5831\u30bb\u30f3\u30bf\u30fc/26\u4eac\u90fd\u5e9c/86\u7531\u826f\u5ddd\u68ee\u6797\u8a08\u753b\u533a/\u7b2c6\u7cfb/\u6797\u73ed\u754c.shp'", "crsjgd2000": "QgsCoordinateReferenceSystem('EPSG:2448')"}, "OUTPUTS": {"": "E:/G\u7a7a\u9593\u60c5\u5831\u30bb\u30f3\u30bf\u30fc/26\u4eac\u90fd\u5e9c/86\u7531\u826f\u5ddd\u68ee\u6797\u8a08\u753b\u533aTKY2JGD/\u7b2c6\u7cfb/\u6797\u73ed\u754c.fgb"}}</t>
  </si>
  <si>
    <t>{"PARAMETERS": {"2": "'E:/G\u7a7a\u9593\u60c5\u5831\u30bb\u30f3\u30bf\u30fc/26\u4eac\u90fd\u5e9c/86\u7531\u826f\u5ddd\u68ee\u6797\u8a08\u753b\u533a/\u7b2c6\u7cfb/\u6797\u73ed\u533a\u753b.shp'", "crsjgd2000": "QgsCoordinateReferenceSystem('EPSG:2448')"}, "OUTPUTS": {"": "E:/G\u7a7a\u9593\u60c5\u5831\u30bb\u30f3\u30bf\u30fc/26\u4eac\u90fd\u5e9c/86\u7531\u826f\u5ddd\u68ee\u6797\u8a08\u753b\u533aTKY2JGD/\u7b2c6\u7cfb/\u6797\u73ed\u533a\u753b.fgb"}}</t>
  </si>
  <si>
    <t>{"PARAMETERS": {"2": "'E:/G\u7a7a\u9593\u60c5\u5831\u30bb\u30f3\u30bf\u30fc/26\u4eac\u90fd\u5e9c/86\u7531\u826f\u5ddd\u68ee\u6797\u8a08\u753b\u533a/\u7b2c6\u7cfb/\u5c0f\u73ed\u754c.shp'", "crsjgd2000": "QgsCoordinateReferenceSystem('EPSG:2448')"}, "OUTPUTS": {"": "E:/G\u7a7a\u9593\u60c5\u5831\u30bb\u30f3\u30bf\u30fc/26\u4eac\u90fd\u5e9c/86\u7531\u826f\u5ddd\u68ee\u6797\u8a08\u753b\u533aTKY2JGD/\u7b2c6\u7cfb/\u5c0f\u73ed\u754c.fgb"}}</t>
  </si>
  <si>
    <t>{"PARAMETERS": {"2": "'E:/G\u7a7a\u9593\u60c5\u5831\u30bb\u30f3\u30bf\u30fc/26\u4eac\u90fd\u5e9c/86\u7531\u826f\u5ddd\u68ee\u6797\u8a08\u753b\u533a/\u7b2c6\u7cfb/\u5c0f\u73ed\u533a\u753b.shp'", "crsjgd2000": "QgsCoordinateReferenceSystem('EPSG:2448')"}, "OUTPUTS": {"": "E:/G\u7a7a\u9593\u60c5\u5831\u30bb\u30f3\u30bf\u30fc/26\u4eac\u90fd\u5e9c/86\u7531\u826f\u5ddd\u68ee\u6797\u8a08\u753b\u533aTKY2JGD/\u7b2c6\u7cfb/\u5c0f\u73ed\u533a\u753b.fgb"}}</t>
  </si>
  <si>
    <t>{"PARAMETERS": {"2": "'E:/G\u7a7a\u9593\u60c5\u5831\u30bb\u30f3\u30bf\u30fc/26\u4eac\u90fd\u5e9c/86\u7531\u826f\u5ddd\u68ee\u6797\u8a08\u753b\u533a/\u7b2c6\u7cfb/\u6797\u9053.shp'", "crsjgd2000": "QgsCoordinateReferenceSystem('EPSG:2448')"}, "OUTPUTS": {"": "E:/G\u7a7a\u9593\u60c5\u5831\u30bb\u30f3\u30bf\u30fc/26\u4eac\u90fd\u5e9c/86\u7531\u826f\u5ddd\u68ee\u6797\u8a08\u753b\u533aTKY2JGD/\u7b2c6\u7cfb/\u6797\u9053.fgb"}}</t>
  </si>
  <si>
    <t>{"PARAMETERS": {"2": "'E:/G\u7a7a\u9593\u60c5\u5831\u30bb\u30f3\u30bf\u30fc/26\u4eac\u90fd\u5e9c/86\u7531\u826f\u5ddd\u68ee\u6797\u8a08\u753b\u533a/\u7b2c6\u7cfb/\u4f5c\u696d\u9053.shp'", "crsjgd2000": "QgsCoordinateReferenceSystem('EPSG:2448')"}, "OUTPUTS": {"": "E:/G\u7a7a\u9593\u60c5\u5831\u30bb\u30f3\u30bf\u30fc/26\u4eac\u90fd\u5e9c/86\u7531\u826f\u5ddd\u68ee\u6797\u8a08\u753b\u533aTKY2JGD/\u7b2c6\u7cfb/\u4f5c\u696d\u9053.fgb"}}</t>
  </si>
  <si>
    <t>{"PARAMETERS": {"2": "'E:/G\u7a7a\u9593\u60c5\u5831\u30bb\u30f3\u30bf\u30fc/26\u4eac\u90fd\u5e9c/86\u7531\u826f\u5ddd\u68ee\u6797\u8a08\u753b\u533a/\u7b2c6\u7cfb/\u7b49\u9ad8\u7dda10m\u9593\u9694.shp'", "crsjgd2000": "QgsCoordinateReferenceSystem('EPSG:2448')"}, "OUTPUTS": {"": "E:/G\u7a7a\u9593\u60c5\u5831\u30bb\u30f3\u30bf\u30fc/26\u4eac\u90fd\u5e9c/86\u7531\u826f\u5ddd\u68ee\u6797\u8a08\u753b\u533aTKY2JGD/\u7b2c6\u7cfb/\u7b49\u9ad8\u7dda10m\u9593\u9694.fgb"}}</t>
  </si>
  <si>
    <t>{"PARAMETERS": {"2": "'E:/G\u7a7a\u9593\u60c5\u5831\u30bb\u30f3\u30bf\u30fc/26\u4eac\u90fd\u5e9c/87\u6dc0\u5ddd\u4e0a\u6d41\u68ee\u6797\u8a08\u753b\u533a/\u7b2c6\u7cfb/\u5883\u754c.shp'", "crsjgd2000": "QgsCoordinateReferenceSystem('EPSG:2448')"}, "OUTPUTS": {"": "E:/G\u7a7a\u9593\u60c5\u5831\u30bb\u30f3\u30bf\u30fc/26\u4eac\u90fd\u5e9c/87\u6dc0\u5ddd\u4e0a\u6d41\u68ee\u6797\u8a08\u753b\u533aTKY2JGD/\u7b2c6\u7cfb/\u5883\u754c.fgb"}}</t>
  </si>
  <si>
    <t>{"PARAMETERS": {"2": "'E:/G\u7a7a\u9593\u60c5\u5831\u30bb\u30f3\u30bf\u30fc/26\u4eac\u90fd\u5e9c/87\u6dc0\u5ddd\u4e0a\u6d41\u68ee\u6797\u8a08\u753b\u533a/\u7b2c6\u7cfb/\u6797\u73ed\u754c.shp'", "crsjgd2000": "QgsCoordinateReferenceSystem('EPSG:2448')"}, "OUTPUTS": {"": "E:/G\u7a7a\u9593\u60c5\u5831\u30bb\u30f3\u30bf\u30fc/26\u4eac\u90fd\u5e9c/87\u6dc0\u5ddd\u4e0a\u6d41\u68ee\u6797\u8a08\u753b\u533aTKY2JGD/\u7b2c6\u7cfb/\u6797\u73ed\u754c.fgb"}}</t>
  </si>
  <si>
    <t>{"PARAMETERS": {"2": "'E:/G\u7a7a\u9593\u60c5\u5831\u30bb\u30f3\u30bf\u30fc/26\u4eac\u90fd\u5e9c/87\u6dc0\u5ddd\u4e0a\u6d41\u68ee\u6797\u8a08\u753b\u533a/\u7b2c6\u7cfb/\u6797\u73ed\u533a\u753b.shp'", "crsjgd2000": "QgsCoordinateReferenceSystem('EPSG:2448')"}, "OUTPUTS": {"": "E:/G\u7a7a\u9593\u60c5\u5831\u30bb\u30f3\u30bf\u30fc/26\u4eac\u90fd\u5e9c/87\u6dc0\u5ddd\u4e0a\u6d41\u68ee\u6797\u8a08\u753b\u533aTKY2JGD/\u7b2c6\u7cfb/\u6797\u73ed\u533a\u753b.fgb"}}</t>
  </si>
  <si>
    <t>{"PARAMETERS": {"2": "'E:/G\u7a7a\u9593\u60c5\u5831\u30bb\u30f3\u30bf\u30fc/26\u4eac\u90fd\u5e9c/87\u6dc0\u5ddd\u4e0a\u6d41\u68ee\u6797\u8a08\u753b\u533a/\u7b2c6\u7cfb/\u5c0f\u73ed\u754c.shp'", "crsjgd2000": "QgsCoordinateReferenceSystem('EPSG:2448')"}, "OUTPUTS": {"": "E:/G\u7a7a\u9593\u60c5\u5831\u30bb\u30f3\u30bf\u30fc/26\u4eac\u90fd\u5e9c/87\u6dc0\u5ddd\u4e0a\u6d41\u68ee\u6797\u8a08\u753b\u533aTKY2JGD/\u7b2c6\u7cfb/\u5c0f\u73ed\u754c.fgb"}}</t>
  </si>
  <si>
    <t>{"PARAMETERS": {"2": "'E:/G\u7a7a\u9593\u60c5\u5831\u30bb\u30f3\u30bf\u30fc/26\u4eac\u90fd\u5e9c/87\u6dc0\u5ddd\u4e0a\u6d41\u68ee\u6797\u8a08\u753b\u533a/\u7b2c6\u7cfb/\u5c0f\u73ed\u533a\u753b.shp'", "crsjgd2000": "QgsCoordinateReferenceSystem('EPSG:2448')"}, "OUTPUTS": {"": "E:/G\u7a7a\u9593\u60c5\u5831\u30bb\u30f3\u30bf\u30fc/26\u4eac\u90fd\u5e9c/87\u6dc0\u5ddd\u4e0a\u6d41\u68ee\u6797\u8a08\u753b\u533aTKY2JGD/\u7b2c6\u7cfb/\u5c0f\u73ed\u533a\u753b.fgb"}}</t>
  </si>
  <si>
    <t>{"PARAMETERS": {"2": "'E:/G\u7a7a\u9593\u60c5\u5831\u30bb\u30f3\u30bf\u30fc/26\u4eac\u90fd\u5e9c/87\u6dc0\u5ddd\u4e0a\u6d41\u68ee\u6797\u8a08\u753b\u533a/\u7b2c6\u7cfb/\u6797\u9053.shp'", "crsjgd2000": "QgsCoordinateReferenceSystem('EPSG:2448')"}, "OUTPUTS": {"": "E:/G\u7a7a\u9593\u60c5\u5831\u30bb\u30f3\u30bf\u30fc/26\u4eac\u90fd\u5e9c/87\u6dc0\u5ddd\u4e0a\u6d41\u68ee\u6797\u8a08\u753b\u533aTKY2JGD/\u7b2c6\u7cfb/\u6797\u9053.fgb"}}</t>
  </si>
  <si>
    <t>{"PARAMETERS": {"2": "'E:/G\u7a7a\u9593\u60c5\u5831\u30bb\u30f3\u30bf\u30fc/26\u4eac\u90fd\u5e9c/87\u6dc0\u5ddd\u4e0a\u6d41\u68ee\u6797\u8a08\u753b\u533a/\u7b2c6\u7cfb/\u4f5c\u696d\u9053.shp'", "crsjgd2000": "QgsCoordinateReferenceSystem('EPSG:2448')"}, "OUTPUTS": {"": "E:/G\u7a7a\u9593\u60c5\u5831\u30bb\u30f3\u30bf\u30fc/26\u4eac\u90fd\u5e9c/87\u6dc0\u5ddd\u4e0a\u6d41\u68ee\u6797\u8a08\u753b\u533aTKY2JGD/\u7b2c6\u7cfb/\u4f5c\u696d\u9053.fgb"}}</t>
  </si>
  <si>
    <t>{"PARAMETERS": {"2": "'E:/G\u7a7a\u9593\u60c5\u5831\u30bb\u30f3\u30bf\u30fc/26\u4eac\u90fd\u5e9c/87\u6dc0\u5ddd\u4e0a\u6d41\u68ee\u6797\u8a08\u753b\u533a/\u7b2c6\u7cfb/\u7b49\u9ad8\u7dda10m\u9593\u9694.shp'", "crsjgd2000": "QgsCoordinateReferenceSystem('EPSG:2448')"}, "OUTPUTS": {"": "E:/G\u7a7a\u9593\u60c5\u5831\u30bb\u30f3\u30bf\u30fc/26\u4eac\u90fd\u5e9c/87\u6dc0\u5ddd\u4e0a\u6d41\u68ee\u6797\u8a08\u753b\u533aTKY2JGD/\u7b2c6\u7cfb/\u7b49\u9ad8\u7dda10m\u9593\u9694.fgb"}}</t>
  </si>
  <si>
    <t>{"PARAMETERS": {"2": "'E:/G\u7a7a\u9593\u60c5\u5831\u30bb\u30f3\u30bf\u30fc/27\u5927\u962a\u5e9c/88\u5927\u962a\u68ee\u6797\u8a08\u753b\u533a/\u7b2c6\u7cfb/\u5883\u754c.shp'", "crsjgd2000": "QgsCoordinateReferenceSystem('EPSG:2448')"}, "OUTPUTS": {"": "E:/G\u7a7a\u9593\u60c5\u5831\u30bb\u30f3\u30bf\u30fc/27\u5927\u962a\u5e9c/88\u5927\u962a\u68ee\u6797\u8a08\u753b\u533aTKY2JGD/\u7b2c6\u7cfb/\u5883\u754c.fgb"}}</t>
  </si>
  <si>
    <t>{"PARAMETERS": {"2": "'E:/G\u7a7a\u9593\u60c5\u5831\u30bb\u30f3\u30bf\u30fc/27\u5927\u962a\u5e9c/88\u5927\u962a\u68ee\u6797\u8a08\u753b\u533a/\u7b2c6\u7cfb/\u6797\u73ed\u754c.shp'", "crsjgd2000": "QgsCoordinateReferenceSystem('EPSG:2448')"}, "OUTPUTS": {"": "E:/G\u7a7a\u9593\u60c5\u5831\u30bb\u30f3\u30bf\u30fc/27\u5927\u962a\u5e9c/88\u5927\u962a\u68ee\u6797\u8a08\u753b\u533aTKY2JGD/\u7b2c6\u7cfb/\u6797\u73ed\u754c.fgb"}}</t>
  </si>
  <si>
    <t>{"PARAMETERS": {"2": "'E:/G\u7a7a\u9593\u60c5\u5831\u30bb\u30f3\u30bf\u30fc/27\u5927\u962a\u5e9c/88\u5927\u962a\u68ee\u6797\u8a08\u753b\u533a/\u7b2c6\u7cfb/\u6797\u73ed\u533a\u753b.shp'", "crsjgd2000": "QgsCoordinateReferenceSystem('EPSG:2448')"}, "OUTPUTS": {"": "E:/G\u7a7a\u9593\u60c5\u5831\u30bb\u30f3\u30bf\u30fc/27\u5927\u962a\u5e9c/88\u5927\u962a\u68ee\u6797\u8a08\u753b\u533aTKY2JGD/\u7b2c6\u7cfb/\u6797\u73ed\u533a\u753b.fgb"}}</t>
  </si>
  <si>
    <t>{"PARAMETERS": {"2": "'E:/G\u7a7a\u9593\u60c5\u5831\u30bb\u30f3\u30bf\u30fc/27\u5927\u962a\u5e9c/88\u5927\u962a\u68ee\u6797\u8a08\u753b\u533a/\u7b2c6\u7cfb/\u5c0f\u73ed\u754c.shp'", "crsjgd2000": "QgsCoordinateReferenceSystem('EPSG:2448')"}, "OUTPUTS": {"": "E:/G\u7a7a\u9593\u60c5\u5831\u30bb\u30f3\u30bf\u30fc/27\u5927\u962a\u5e9c/88\u5927\u962a\u68ee\u6797\u8a08\u753b\u533aTKY2JGD/\u7b2c6\u7cfb/\u5c0f\u73ed\u754c.fgb"}}</t>
  </si>
  <si>
    <t>{"PARAMETERS": {"2": "'E:/G\u7a7a\u9593\u60c5\u5831\u30bb\u30f3\u30bf\u30fc/27\u5927\u962a\u5e9c/88\u5927\u962a\u68ee\u6797\u8a08\u753b\u533a/\u7b2c6\u7cfb/\u5c0f\u73ed\u533a\u753b.shp'", "crsjgd2000": "QgsCoordinateReferenceSystem('EPSG:2448')"}, "OUTPUTS": {"": "E:/G\u7a7a\u9593\u60c5\u5831\u30bb\u30f3\u30bf\u30fc/27\u5927\u962a\u5e9c/88\u5927\u962a\u68ee\u6797\u8a08\u753b\u533aTKY2JGD/\u7b2c6\u7cfb/\u5c0f\u73ed\u533a\u753b.fgb"}}</t>
  </si>
  <si>
    <t>{"PARAMETERS": {"2": "'E:/G\u7a7a\u9593\u60c5\u5831\u30bb\u30f3\u30bf\u30fc/27\u5927\u962a\u5e9c/88\u5927\u962a\u68ee\u6797\u8a08\u753b\u533a/\u7b2c6\u7cfb/\u6797\u9053.shp'", "crsjgd2000": "QgsCoordinateReferenceSystem('EPSG:2448')"}, "OUTPUTS": {"": "E:/G\u7a7a\u9593\u60c5\u5831\u30bb\u30f3\u30bf\u30fc/27\u5927\u962a\u5e9c/88\u5927\u962a\u68ee\u6797\u8a08\u753b\u533aTKY2JGD/\u7b2c6\u7cfb/\u6797\u9053.fgb"}}</t>
  </si>
  <si>
    <t>{"PARAMETERS": {"2": "'E:/G\u7a7a\u9593\u60c5\u5831\u30bb\u30f3\u30bf\u30fc/27\u5927\u962a\u5e9c/88\u5927\u962a\u68ee\u6797\u8a08\u753b\u533a/\u7b2c6\u7cfb/\u4f5c\u696d\u9053.shp'", "crsjgd2000": "QgsCoordinateReferenceSystem('EPSG:2448')"}, "OUTPUTS": {"": "E:/G\u7a7a\u9593\u60c5\u5831\u30bb\u30f3\u30bf\u30fc/27\u5927\u962a\u5e9c/88\u5927\u962a\u68ee\u6797\u8a08\u753b\u533aTKY2JGD/\u7b2c6\u7cfb/\u4f5c\u696d\u9053.fgb"}}</t>
  </si>
  <si>
    <t>{"PARAMETERS": {"2": "'E:/G\u7a7a\u9593\u60c5\u5831\u30bb\u30f3\u30bf\u30fc/27\u5927\u962a\u5e9c/88\u5927\u962a\u68ee\u6797\u8a08\u753b\u533a/\u7b2c6\u7cfb/\u7b49\u9ad8\u7dda10m\u9593\u9694.shp'", "crsjgd2000": "QgsCoordinateReferenceSystem('EPSG:2448')"}, "OUTPUTS": {"": "E:/G\u7a7a\u9593\u60c5\u5831\u30bb\u30f3\u30bf\u30fc/27\u5927\u962a\u5e9c/88\u5927\u962a\u68ee\u6797\u8a08\u753b\u533aTKY2JGD/\u7b2c6\u7cfb/\u7b49\u9ad8\u7dda10m\u9593\u9694.fgb"}}</t>
  </si>
  <si>
    <t>{"PARAMETERS": {"2": "'E:/G\u7a7a\u9593\u60c5\u5831\u30bb\u30f3\u30bf\u30fc/28\u5175\u5eab\u770c/89\u52a0\u53e4\u5ddd\u68ee\u6797\u8a08\u753b\u533a/\u7b2c5\u7cfb/\u5883\u754c.shp'", "crsjgd2000": "QgsCoordinateReferenceSystem('EPSG:2447')"}, "OUTPUTS": {"": "E:/G\u7a7a\u9593\u60c5\u5831\u30bb\u30f3\u30bf\u30fc/28\u5175\u5eab\u770c/89\u52a0\u53e4\u5ddd\u68ee\u6797\u8a08\u753b\u533aTKY2JGD/\u7b2c5\u7cfb/\u5883\u754c.fgb"}}</t>
  </si>
  <si>
    <t>{"PARAMETERS": {"2": "'E:/G\u7a7a\u9593\u60c5\u5831\u30bb\u30f3\u30bf\u30fc/28\u5175\u5eab\u770c/89\u52a0\u53e4\u5ddd\u68ee\u6797\u8a08\u753b\u533a/\u7b2c5\u7cfb/\u6797\u73ed\u754c.shp'", "crsjgd2000": "QgsCoordinateReferenceSystem('EPSG:2447')"}, "OUTPUTS": {"": "E:/G\u7a7a\u9593\u60c5\u5831\u30bb\u30f3\u30bf\u30fc/28\u5175\u5eab\u770c/89\u52a0\u53e4\u5ddd\u68ee\u6797\u8a08\u753b\u533aTKY2JGD/\u7b2c5\u7cfb/\u6797\u73ed\u754c.fgb"}}</t>
  </si>
  <si>
    <t>{"PARAMETERS": {"2": "'E:/G\u7a7a\u9593\u60c5\u5831\u30bb\u30f3\u30bf\u30fc/28\u5175\u5eab\u770c/89\u52a0\u53e4\u5ddd\u68ee\u6797\u8a08\u753b\u533a/\u7b2c5\u7cfb/\u6797\u73ed\u533a\u753b.shp'", "crsjgd2000": "QgsCoordinateReferenceSystem('EPSG:2447')"}, "OUTPUTS": {"": "E:/G\u7a7a\u9593\u60c5\u5831\u30bb\u30f3\u30bf\u30fc/28\u5175\u5eab\u770c/89\u52a0\u53e4\u5ddd\u68ee\u6797\u8a08\u753b\u533aTKY2JGD/\u7b2c5\u7cfb/\u6797\u73ed\u533a\u753b.fgb"}}</t>
  </si>
  <si>
    <t>{"PARAMETERS": {"2": "'E:/G\u7a7a\u9593\u60c5\u5831\u30bb\u30f3\u30bf\u30fc/28\u5175\u5eab\u770c/89\u52a0\u53e4\u5ddd\u68ee\u6797\u8a08\u753b\u533a/\u7b2c5\u7cfb/\u5c0f\u73ed\u754c.shp'", "crsjgd2000": "QgsCoordinateReferenceSystem('EPSG:2447')"}, "OUTPUTS": {"": "E:/G\u7a7a\u9593\u60c5\u5831\u30bb\u30f3\u30bf\u30fc/28\u5175\u5eab\u770c/89\u52a0\u53e4\u5ddd\u68ee\u6797\u8a08\u753b\u533aTKY2JGD/\u7b2c5\u7cfb/\u5c0f\u73ed\u754c.fgb"}}</t>
  </si>
  <si>
    <t>{"PARAMETERS": {"2": "'E:/G\u7a7a\u9593\u60c5\u5831\u30bb\u30f3\u30bf\u30fc/28\u5175\u5eab\u770c/89\u52a0\u53e4\u5ddd\u68ee\u6797\u8a08\u753b\u533a/\u7b2c5\u7cfb/\u5c0f\u73ed\u533a\u753b.shp'", "crsjgd2000": "QgsCoordinateReferenceSystem('EPSG:2447')"}, "OUTPUTS": {"": "E:/G\u7a7a\u9593\u60c5\u5831\u30bb\u30f3\u30bf\u30fc/28\u5175\u5eab\u770c/89\u52a0\u53e4\u5ddd\u68ee\u6797\u8a08\u753b\u533aTKY2JGD/\u7b2c5\u7cfb/\u5c0f\u73ed\u533a\u753b.fgb"}}</t>
  </si>
  <si>
    <t>{"PARAMETERS": {"2": "'E:/G\u7a7a\u9593\u60c5\u5831\u30bb\u30f3\u30bf\u30fc/28\u5175\u5eab\u770c/89\u52a0\u53e4\u5ddd\u68ee\u6797\u8a08\u753b\u533a/\u7b2c5\u7cfb/\u6797\u9053.shp'", "crsjgd2000": "QgsCoordinateReferenceSystem('EPSG:2447')"}, "OUTPUTS": {"": "E:/G\u7a7a\u9593\u60c5\u5831\u30bb\u30f3\u30bf\u30fc/28\u5175\u5eab\u770c/89\u52a0\u53e4\u5ddd\u68ee\u6797\u8a08\u753b\u533aTKY2JGD/\u7b2c5\u7cfb/\u6797\u9053.fgb"}}</t>
  </si>
  <si>
    <t>{"PARAMETERS": {"2": "'E:/G\u7a7a\u9593\u60c5\u5831\u30bb\u30f3\u30bf\u30fc/28\u5175\u5eab\u770c/89\u52a0\u53e4\u5ddd\u68ee\u6797\u8a08\u753b\u533a/\u7b2c5\u7cfb/\u4f5c\u696d\u9053.shp'", "crsjgd2000": "QgsCoordinateReferenceSystem('EPSG:2447')"}, "OUTPUTS": {"": "E:/G\u7a7a\u9593\u60c5\u5831\u30bb\u30f3\u30bf\u30fc/28\u5175\u5eab\u770c/89\u52a0\u53e4\u5ddd\u68ee\u6797\u8a08\u753b\u533aTKY2JGD/\u7b2c5\u7cfb/\u4f5c\u696d\u9053.fgb"}}</t>
  </si>
  <si>
    <t>{"PARAMETERS": {"2": "'E:/G\u7a7a\u9593\u60c5\u5831\u30bb\u30f3\u30bf\u30fc/28\u5175\u5eab\u770c/89\u52a0\u53e4\u5ddd\u68ee\u6797\u8a08\u753b\u533a/\u7b2c5\u7cfb/\u7b49\u9ad8\u7dda10m\u9593\u9694.shp'", "crsjgd2000": "QgsCoordinateReferenceSystem('EPSG:2447')"}, "OUTPUTS": {"": "E:/G\u7a7a\u9593\u60c5\u5831\u30bb\u30f3\u30bf\u30fc/28\u5175\u5eab\u770c/89\u52a0\u53e4\u5ddd\u68ee\u6797\u8a08\u753b\u533aTKY2JGD/\u7b2c5\u7cfb/\u7b49\u9ad8\u7dda10m\u9593\u9694.fgb"}}</t>
  </si>
  <si>
    <t>{"PARAMETERS": {"2": "'E:/G\u7a7a\u9593\u60c5\u5831\u30bb\u30f3\u30bf\u30fc/28\u5175\u5eab\u770c/90\u63d6\u4fdd\u5ddd\u68ee\u6797\u8a08\u753b\u533a/\u7b2c5\u7cfb/\u5883\u754c.shp'", "crsjgd2000": "QgsCoordinateReferenceSystem('EPSG:2447')"}, "OUTPUTS": {"": "E:/G\u7a7a\u9593\u60c5\u5831\u30bb\u30f3\u30bf\u30fc/28\u5175\u5eab\u770c/90\u63d6\u4fdd\u5ddd\u68ee\u6797\u8a08\u753b\u533aTKY2JGD/\u7b2c5\u7cfb/\u5883\u754c.fgb"}}</t>
  </si>
  <si>
    <t>{"PARAMETERS": {"2": "'E:/G\u7a7a\u9593\u60c5\u5831\u30bb\u30f3\u30bf\u30fc/28\u5175\u5eab\u770c/90\u63d6\u4fdd\u5ddd\u68ee\u6797\u8a08\u753b\u533a/\u7b2c5\u7cfb/\u6797\u73ed\u754c.shp'", "crsjgd2000": "QgsCoordinateReferenceSystem('EPSG:2447')"}, "OUTPUTS": {"": "E:/G\u7a7a\u9593\u60c5\u5831\u30bb\u30f3\u30bf\u30fc/28\u5175\u5eab\u770c/90\u63d6\u4fdd\u5ddd\u68ee\u6797\u8a08\u753b\u533aTKY2JGD/\u7b2c5\u7cfb/\u6797\u73ed\u754c.fgb"}}</t>
  </si>
  <si>
    <t>{"PARAMETERS": {"2": "'E:/G\u7a7a\u9593\u60c5\u5831\u30bb\u30f3\u30bf\u30fc/28\u5175\u5eab\u770c/90\u63d6\u4fdd\u5ddd\u68ee\u6797\u8a08\u753b\u533a/\u7b2c5\u7cfb/\u6797\u73ed\u533a\u753b.shp'", "crsjgd2000": "QgsCoordinateReferenceSystem('EPSG:2447')"}, "OUTPUTS": {"": "E:/G\u7a7a\u9593\u60c5\u5831\u30bb\u30f3\u30bf\u30fc/28\u5175\u5eab\u770c/90\u63d6\u4fdd\u5ddd\u68ee\u6797\u8a08\u753b\u533aTKY2JGD/\u7b2c5\u7cfb/\u6797\u73ed\u533a\u753b.fgb"}}</t>
  </si>
  <si>
    <t>{"PARAMETERS": {"2": "'E:/G\u7a7a\u9593\u60c5\u5831\u30bb\u30f3\u30bf\u30fc/28\u5175\u5eab\u770c/90\u63d6\u4fdd\u5ddd\u68ee\u6797\u8a08\u753b\u533a/\u7b2c5\u7cfb/\u5c0f\u73ed\u754c.shp'", "crsjgd2000": "QgsCoordinateReferenceSystem('EPSG:2447')"}, "OUTPUTS": {"": "E:/G\u7a7a\u9593\u60c5\u5831\u30bb\u30f3\u30bf\u30fc/28\u5175\u5eab\u770c/90\u63d6\u4fdd\u5ddd\u68ee\u6797\u8a08\u753b\u533aTKY2JGD/\u7b2c5\u7cfb/\u5c0f\u73ed\u754c.fgb"}}</t>
  </si>
  <si>
    <t>{"PARAMETERS": {"2": "'E:/G\u7a7a\u9593\u60c5\u5831\u30bb\u30f3\u30bf\u30fc/28\u5175\u5eab\u770c/90\u63d6\u4fdd\u5ddd\u68ee\u6797\u8a08\u753b\u533a/\u7b2c5\u7cfb/\u5c0f\u73ed\u533a\u753b.shp'", "crsjgd2000": "QgsCoordinateReferenceSystem('EPSG:2447')"}, "OUTPUTS": {"": "E:/G\u7a7a\u9593\u60c5\u5831\u30bb\u30f3\u30bf\u30fc/28\u5175\u5eab\u770c/90\u63d6\u4fdd\u5ddd\u68ee\u6797\u8a08\u753b\u533aTKY2JGD/\u7b2c5\u7cfb/\u5c0f\u73ed\u533a\u753b.fgb"}}</t>
  </si>
  <si>
    <t>{"PARAMETERS": {"2": "'E:/G\u7a7a\u9593\u60c5\u5831\u30bb\u30f3\u30bf\u30fc/28\u5175\u5eab\u770c/90\u63d6\u4fdd\u5ddd\u68ee\u6797\u8a08\u753b\u533a/\u7b2c5\u7cfb/\u6797\u9053.shp'", "crsjgd2000": "QgsCoordinateReferenceSystem('EPSG:2447')"}, "OUTPUTS": {"": "E:/G\u7a7a\u9593\u60c5\u5831\u30bb\u30f3\u30bf\u30fc/28\u5175\u5eab\u770c/90\u63d6\u4fdd\u5ddd\u68ee\u6797\u8a08\u753b\u533aTKY2JGD/\u7b2c5\u7cfb/\u6797\u9053.fgb"}}</t>
  </si>
  <si>
    <t>{"PARAMETERS": {"2": "'E:/G\u7a7a\u9593\u60c5\u5831\u30bb\u30f3\u30bf\u30fc/28\u5175\u5eab\u770c/90\u63d6\u4fdd\u5ddd\u68ee\u6797\u8a08\u753b\u533a/\u7b2c5\u7cfb/\u4f5c\u696d\u9053.shp'", "crsjgd2000": "QgsCoordinateReferenceSystem('EPSG:2447')"}, "OUTPUTS": {"": "E:/G\u7a7a\u9593\u60c5\u5831\u30bb\u30f3\u30bf\u30fc/28\u5175\u5eab\u770c/90\u63d6\u4fdd\u5ddd\u68ee\u6797\u8a08\u753b\u533aTKY2JGD/\u7b2c5\u7cfb/\u4f5c\u696d\u9053.fgb"}}</t>
  </si>
  <si>
    <t>{"PARAMETERS": {"2": "'E:/G\u7a7a\u9593\u60c5\u5831\u30bb\u30f3\u30bf\u30fc/28\u5175\u5eab\u770c/90\u63d6\u4fdd\u5ddd\u68ee\u6797\u8a08\u753b\u533a/\u7b2c5\u7cfb/\u7b49\u9ad8\u7dda10m\u9593\u9694.shp'", "crsjgd2000": "QgsCoordinateReferenceSystem('EPSG:2447')"}, "OUTPUTS": {"": "E:/G\u7a7a\u9593\u60c5\u5831\u30bb\u30f3\u30bf\u30fc/28\u5175\u5eab\u770c/90\u63d6\u4fdd\u5ddd\u68ee\u6797\u8a08\u753b\u533aTKY2JGD/\u7b2c5\u7cfb/\u7b49\u9ad8\u7dda10m\u9593\u9694.fgb"}}</t>
  </si>
  <si>
    <t>{"PARAMETERS": {"2": "'E:/G\u7a7a\u9593\u60c5\u5831\u30bb\u30f3\u30bf\u30fc/28\u5175\u5eab\u770c/91\u5186\u5c71\u5ddd\u68ee\u6797\u8a08\u753b\u533a/\u7b2c5\u7cfb/\u5883\u754c.shp'", "crsjgd2000": "QgsCoordinateReferenceSystem('EPSG:2447')"}, "OUTPUTS": {"": "E:/G\u7a7a\u9593\u60c5\u5831\u30bb\u30f3\u30bf\u30fc/28\u5175\u5eab\u770c/91\u5186\u5c71\u5ddd\u68ee\u6797\u8a08\u753b\u533aTKY2JGD/\u7b2c5\u7cfb/\u5883\u754c.fgb"}}</t>
  </si>
  <si>
    <t>{"PARAMETERS": {"2": "'E:/G\u7a7a\u9593\u60c5\u5831\u30bb\u30f3\u30bf\u30fc/28\u5175\u5eab\u770c/91\u5186\u5c71\u5ddd\u68ee\u6797\u8a08\u753b\u533a/\u7b2c5\u7cfb/\u6797\u73ed\u754c.shp'", "crsjgd2000": "QgsCoordinateReferenceSystem('EPSG:2447')"}, "OUTPUTS": {"": "E:/G\u7a7a\u9593\u60c5\u5831\u30bb\u30f3\u30bf\u30fc/28\u5175\u5eab\u770c/91\u5186\u5c71\u5ddd\u68ee\u6797\u8a08\u753b\u533aTKY2JGD/\u7b2c5\u7cfb/\u6797\u73ed\u754c.fgb"}}</t>
  </si>
  <si>
    <t>{"PARAMETERS": {"2": "'E:/G\u7a7a\u9593\u60c5\u5831\u30bb\u30f3\u30bf\u30fc/28\u5175\u5eab\u770c/91\u5186\u5c71\u5ddd\u68ee\u6797\u8a08\u753b\u533a/\u7b2c5\u7cfb/\u6797\u73ed\u533a\u753b.shp'", "crsjgd2000": "QgsCoordinateReferenceSystem('EPSG:2447')"}, "OUTPUTS": {"": "E:/G\u7a7a\u9593\u60c5\u5831\u30bb\u30f3\u30bf\u30fc/28\u5175\u5eab\u770c/91\u5186\u5c71\u5ddd\u68ee\u6797\u8a08\u753b\u533aTKY2JGD/\u7b2c5\u7cfb/\u6797\u73ed\u533a\u753b.fgb"}}</t>
  </si>
  <si>
    <t>{"PARAMETERS": {"2": "'E:/G\u7a7a\u9593\u60c5\u5831\u30bb\u30f3\u30bf\u30fc/28\u5175\u5eab\u770c/91\u5186\u5c71\u5ddd\u68ee\u6797\u8a08\u753b\u533a/\u7b2c5\u7cfb/\u5c0f\u73ed\u754c.shp'", "crsjgd2000": "QgsCoordinateReferenceSystem('EPSG:2447')"}, "OUTPUTS": {"": "E:/G\u7a7a\u9593\u60c5\u5831\u30bb\u30f3\u30bf\u30fc/28\u5175\u5eab\u770c/91\u5186\u5c71\u5ddd\u68ee\u6797\u8a08\u753b\u533aTKY2JGD/\u7b2c5\u7cfb/\u5c0f\u73ed\u754c.fgb"}}</t>
  </si>
  <si>
    <t>{"PARAMETERS": {"2": "'E:/G\u7a7a\u9593\u60c5\u5831\u30bb\u30f3\u30bf\u30fc/28\u5175\u5eab\u770c/91\u5186\u5c71\u5ddd\u68ee\u6797\u8a08\u753b\u533a/\u7b2c5\u7cfb/\u5c0f\u73ed\u533a\u753b.shp'", "crsjgd2000": "QgsCoordinateReferenceSystem('EPSG:2447')"}, "OUTPUTS": {"": "E:/G\u7a7a\u9593\u60c5\u5831\u30bb\u30f3\u30bf\u30fc/28\u5175\u5eab\u770c/91\u5186\u5c71\u5ddd\u68ee\u6797\u8a08\u753b\u533aTKY2JGD/\u7b2c5\u7cfb/\u5c0f\u73ed\u533a\u753b.fgb"}}</t>
  </si>
  <si>
    <t>{"PARAMETERS": {"2": "'E:/G\u7a7a\u9593\u60c5\u5831\u30bb\u30f3\u30bf\u30fc/28\u5175\u5eab\u770c/91\u5186\u5c71\u5ddd\u68ee\u6797\u8a08\u753b\u533a/\u7b2c5\u7cfb/\u6797\u9053.shp'", "crsjgd2000": "QgsCoordinateReferenceSystem('EPSG:2447')"}, "OUTPUTS": {"": "E:/G\u7a7a\u9593\u60c5\u5831\u30bb\u30f3\u30bf\u30fc/28\u5175\u5eab\u770c/91\u5186\u5c71\u5ddd\u68ee\u6797\u8a08\u753b\u533aTKY2JGD/\u7b2c5\u7cfb/\u6797\u9053.fgb"}}</t>
  </si>
  <si>
    <t>{"PARAMETERS": {"2": "'E:/G\u7a7a\u9593\u60c5\u5831\u30bb\u30f3\u30bf\u30fc/28\u5175\u5eab\u770c/91\u5186\u5c71\u5ddd\u68ee\u6797\u8a08\u753b\u533a/\u7b2c5\u7cfb/\u4f5c\u696d\u9053.shp'", "crsjgd2000": "QgsCoordinateReferenceSystem('EPSG:2447')"}, "OUTPUTS": {"": "E:/G\u7a7a\u9593\u60c5\u5831\u30bb\u30f3\u30bf\u30fc/28\u5175\u5eab\u770c/91\u5186\u5c71\u5ddd\u68ee\u6797\u8a08\u753b\u533aTKY2JGD/\u7b2c5\u7cfb/\u4f5c\u696d\u9053.fgb"}}</t>
  </si>
  <si>
    <t>{"PARAMETERS": {"2": "'E:/G\u7a7a\u9593\u60c5\u5831\u30bb\u30f3\u30bf\u30fc/28\u5175\u5eab\u770c/91\u5186\u5c71\u5ddd\u68ee\u6797\u8a08\u753b\u533a/\u7b2c5\u7cfb/\u7b49\u9ad8\u7dda10m\u9593\u9694.shp'", "crsjgd2000": "QgsCoordinateReferenceSystem('EPSG:2447')"}, "OUTPUTS": {"": "E:/G\u7a7a\u9593\u60c5\u5831\u30bb\u30f3\u30bf\u30fc/28\u5175\u5eab\u770c/91\u5186\u5c71\u5ddd\u68ee\u6797\u8a08\u753b\u533aTKY2JGD/\u7b2c5\u7cfb/\u7b49\u9ad8\u7dda10m\u9593\u9694.fgb"}}</t>
  </si>
  <si>
    <t>{"PARAMETERS": {"2": "'E:/G\u7a7a\u9593\u60c5\u5831\u30bb\u30f3\u30bf\u30fc/29\u5948\u826f\u770c/92\u5927\u548c\u30fb\u6728\u6d25\u5ddd\u68ee\u6797\u8a08\u753b\u533a/\u7b2c6\u7cfb/\u5883\u754c.shp'", "crsjgd2000": "QgsCoordinateReferenceSystem('EPSG:2448')"}, "OUTPUTS": {"": "E:/G\u7a7a\u9593\u60c5\u5831\u30bb\u30f3\u30bf\u30fc/29\u5948\u826f\u770c/92\u5927\u548c\u30fb\u6728\u6d25\u5ddd\u68ee\u6797\u8a08\u753b\u533aTKY2JGD/\u7b2c6\u7cfb/\u5883\u754c.fgb"}}</t>
  </si>
  <si>
    <t>{"PARAMETERS": {"2": "'E:/G\u7a7a\u9593\u60c5\u5831\u30bb\u30f3\u30bf\u30fc/29\u5948\u826f\u770c/92\u5927\u548c\u30fb\u6728\u6d25\u5ddd\u68ee\u6797\u8a08\u753b\u533a/\u7b2c6\u7cfb/\u6797\u73ed\u754c.shp'", "crsjgd2000": "QgsCoordinateReferenceSystem('EPSG:2448')"}, "OUTPUTS": {"": "E:/G\u7a7a\u9593\u60c5\u5831\u30bb\u30f3\u30bf\u30fc/29\u5948\u826f\u770c/92\u5927\u548c\u30fb\u6728\u6d25\u5ddd\u68ee\u6797\u8a08\u753b\u533aTKY2JGD/\u7b2c6\u7cfb/\u6797\u73ed\u754c.fgb"}}</t>
  </si>
  <si>
    <t>{"PARAMETERS": {"2": "'E:/G\u7a7a\u9593\u60c5\u5831\u30bb\u30f3\u30bf\u30fc/29\u5948\u826f\u770c/92\u5927\u548c\u30fb\u6728\u6d25\u5ddd\u68ee\u6797\u8a08\u753b\u533a/\u7b2c6\u7cfb/\u6797\u73ed\u533a\u753b.shp'", "crsjgd2000": "QgsCoordinateReferenceSystem('EPSG:2448')"}, "OUTPUTS": {"": "E:/G\u7a7a\u9593\u60c5\u5831\u30bb\u30f3\u30bf\u30fc/29\u5948\u826f\u770c/92\u5927\u548c\u30fb\u6728\u6d25\u5ddd\u68ee\u6797\u8a08\u753b\u533aTKY2JGD/\u7b2c6\u7cfb/\u6797\u73ed\u533a\u753b.fgb"}}</t>
  </si>
  <si>
    <t>{"PARAMETERS": {"2": "'E:/G\u7a7a\u9593\u60c5\u5831\u30bb\u30f3\u30bf\u30fc/29\u5948\u826f\u770c/92\u5927\u548c\u30fb\u6728\u6d25\u5ddd\u68ee\u6797\u8a08\u753b\u533a/\u7b2c6\u7cfb/\u5c0f\u73ed\u754c.shp'", "crsjgd2000": "QgsCoordinateReferenceSystem('EPSG:2448')"}, "OUTPUTS": {"": "E:/G\u7a7a\u9593\u60c5\u5831\u30bb\u30f3\u30bf\u30fc/29\u5948\u826f\u770c/92\u5927\u548c\u30fb\u6728\u6d25\u5ddd\u68ee\u6797\u8a08\u753b\u533aTKY2JGD/\u7b2c6\u7cfb/\u5c0f\u73ed\u754c.fgb"}}</t>
  </si>
  <si>
    <t>{"PARAMETERS": {"2": "'E:/G\u7a7a\u9593\u60c5\u5831\u30bb\u30f3\u30bf\u30fc/29\u5948\u826f\u770c/92\u5927\u548c\u30fb\u6728\u6d25\u5ddd\u68ee\u6797\u8a08\u753b\u533a/\u7b2c6\u7cfb/\u5c0f\u73ed\u533a\u753b.shp'", "crsjgd2000": "QgsCoordinateReferenceSystem('EPSG:2448')"}, "OUTPUTS": {"": "E:/G\u7a7a\u9593\u60c5\u5831\u30bb\u30f3\u30bf\u30fc/29\u5948\u826f\u770c/92\u5927\u548c\u30fb\u6728\u6d25\u5ddd\u68ee\u6797\u8a08\u753b\u533aTKY2JGD/\u7b2c6\u7cfb/\u5c0f\u73ed\u533a\u753b.fgb"}}</t>
  </si>
  <si>
    <t>{"PARAMETERS": {"2": "'E:/G\u7a7a\u9593\u60c5\u5831\u30bb\u30f3\u30bf\u30fc/29\u5948\u826f\u770c/92\u5927\u548c\u30fb\u6728\u6d25\u5ddd\u68ee\u6797\u8a08\u753b\u533a/\u7b2c6\u7cfb/\u6797\u9053.shp'", "crsjgd2000": "QgsCoordinateReferenceSystem('EPSG:2448')"}, "OUTPUTS": {"": "E:/G\u7a7a\u9593\u60c5\u5831\u30bb\u30f3\u30bf\u30fc/29\u5948\u826f\u770c/92\u5927\u548c\u30fb\u6728\u6d25\u5ddd\u68ee\u6797\u8a08\u753b\u533aTKY2JGD/\u7b2c6\u7cfb/\u6797\u9053.fgb"}}</t>
  </si>
  <si>
    <t>{"PARAMETERS": {"2": "'E:/G\u7a7a\u9593\u60c5\u5831\u30bb\u30f3\u30bf\u30fc/29\u5948\u826f\u770c/92\u5927\u548c\u30fb\u6728\u6d25\u5ddd\u68ee\u6797\u8a08\u753b\u533a/\u7b2c6\u7cfb/\u4f5c\u696d\u9053.shp'", "crsjgd2000": "QgsCoordinateReferenceSystem('EPSG:2448')"}, "OUTPUTS": {"": "E:/G\u7a7a\u9593\u60c5\u5831\u30bb\u30f3\u30bf\u30fc/29\u5948\u826f\u770c/92\u5927\u548c\u30fb\u6728\u6d25\u5ddd\u68ee\u6797\u8a08\u753b\u533aTKY2JGD/\u7b2c6\u7cfb/\u4f5c\u696d\u9053.fgb"}}</t>
  </si>
  <si>
    <t>{"PARAMETERS": {"2": "'E:/G\u7a7a\u9593\u60c5\u5831\u30bb\u30f3\u30bf\u30fc/29\u5948\u826f\u770c/92\u5927\u548c\u30fb\u6728\u6d25\u5ddd\u68ee\u6797\u8a08\u753b\u533a/\u7b2c6\u7cfb/\u7b49\u9ad8\u7dda10m\u9593\u9694.shp'", "crsjgd2000": "QgsCoordinateReferenceSystem('EPSG:2448')"}, "OUTPUTS": {"": "E:/G\u7a7a\u9593\u60c5\u5831\u30bb\u30f3\u30bf\u30fc/29\u5948\u826f\u770c/92\u5927\u548c\u30fb\u6728\u6d25\u5ddd\u68ee\u6797\u8a08\u753b\u533aTKY2JGD/\u7b2c6\u7cfb/\u7b49\u9ad8\u7dda10m\u9593\u9694.fgb"}}</t>
  </si>
  <si>
    <t>{"PARAMETERS": {"2": "'E:/G\u7a7a\u9593\u60c5\u5831\u30bb\u30f3\u30bf\u30fc/29\u5948\u826f\u770c/93\u5317\u5c71\u30fb\u5341\u6d25\u5ddd\u68ee\u6797\u8a08\u753b\u533a/\u7b2c6\u7cfb/\u5883\u754c.shp'", "crsjgd2000": "QgsCoordinateReferenceSystem('EPSG:2448')"}, "OUTPUTS": {"": "E:/G\u7a7a\u9593\u60c5\u5831\u30bb\u30f3\u30bf\u30fc/29\u5948\u826f\u770c/93\u5317\u5c71\u30fb\u5341\u6d25\u5ddd\u68ee\u6797\u8a08\u753b\u533aTKY2JGD/\u7b2c6\u7cfb/\u5883\u754c.fgb"}}</t>
  </si>
  <si>
    <t>{"PARAMETERS": {"2": "'E:/G\u7a7a\u9593\u60c5\u5831\u30bb\u30f3\u30bf\u30fc/29\u5948\u826f\u770c/93\u5317\u5c71\u30fb\u5341\u6d25\u5ddd\u68ee\u6797\u8a08\u753b\u533a/\u7b2c6\u7cfb/\u6797\u73ed\u754c.shp'", "crsjgd2000": "QgsCoordinateReferenceSystem('EPSG:2448')"}, "OUTPUTS": {"": "E:/G\u7a7a\u9593\u60c5\u5831\u30bb\u30f3\u30bf\u30fc/29\u5948\u826f\u770c/93\u5317\u5c71\u30fb\u5341\u6d25\u5ddd\u68ee\u6797\u8a08\u753b\u533aTKY2JGD/\u7b2c6\u7cfb/\u6797\u73ed\u754c.fgb"}}</t>
  </si>
  <si>
    <t>{"PARAMETERS": {"2": "'E:/G\u7a7a\u9593\u60c5\u5831\u30bb\u30f3\u30bf\u30fc/29\u5948\u826f\u770c/93\u5317\u5c71\u30fb\u5341\u6d25\u5ddd\u68ee\u6797\u8a08\u753b\u533a/\u7b2c6\u7cfb/\u6797\u73ed\u533a\u753b.shp'", "crsjgd2000": "QgsCoordinateReferenceSystem('EPSG:2448')"}, "OUTPUTS": {"": "E:/G\u7a7a\u9593\u60c5\u5831\u30bb\u30f3\u30bf\u30fc/29\u5948\u826f\u770c/93\u5317\u5c71\u30fb\u5341\u6d25\u5ddd\u68ee\u6797\u8a08\u753b\u533aTKY2JGD/\u7b2c6\u7cfb/\u6797\u73ed\u533a\u753b.fgb"}}</t>
  </si>
  <si>
    <t>{"PARAMETERS": {"2": "'E:/G\u7a7a\u9593\u60c5\u5831\u30bb\u30f3\u30bf\u30fc/29\u5948\u826f\u770c/93\u5317\u5c71\u30fb\u5341\u6d25\u5ddd\u68ee\u6797\u8a08\u753b\u533a/\u7b2c6\u7cfb/\u5c0f\u73ed\u754c.shp'", "crsjgd2000": "QgsCoordinateReferenceSystem('EPSG:2448')"}, "OUTPUTS": {"": "E:/G\u7a7a\u9593\u60c5\u5831\u30bb\u30f3\u30bf\u30fc/29\u5948\u826f\u770c/93\u5317\u5c71\u30fb\u5341\u6d25\u5ddd\u68ee\u6797\u8a08\u753b\u533aTKY2JGD/\u7b2c6\u7cfb/\u5c0f\u73ed\u754c.fgb"}}</t>
  </si>
  <si>
    <t>{"PARAMETERS": {"2": "'E:/G\u7a7a\u9593\u60c5\u5831\u30bb\u30f3\u30bf\u30fc/29\u5948\u826f\u770c/93\u5317\u5c71\u30fb\u5341\u6d25\u5ddd\u68ee\u6797\u8a08\u753b\u533a/\u7b2c6\u7cfb/\u5c0f\u73ed\u533a\u753b.shp'", "crsjgd2000": "QgsCoordinateReferenceSystem('EPSG:2448')"}, "OUTPUTS": {"": "E:/G\u7a7a\u9593\u60c5\u5831\u30bb\u30f3\u30bf\u30fc/29\u5948\u826f\u770c/93\u5317\u5c71\u30fb\u5341\u6d25\u5ddd\u68ee\u6797\u8a08\u753b\u533aTKY2JGD/\u7b2c6\u7cfb/\u5c0f\u73ed\u533a\u753b.fgb"}}</t>
  </si>
  <si>
    <t>{"PARAMETERS": {"2": "'E:/G\u7a7a\u9593\u60c5\u5831\u30bb\u30f3\u30bf\u30fc/29\u5948\u826f\u770c/93\u5317\u5c71\u30fb\u5341\u6d25\u5ddd\u68ee\u6797\u8a08\u753b\u533a/\u7b2c6\u7cfb/\u6797\u9053.shp'", "crsjgd2000": "QgsCoordinateReferenceSystem('EPSG:2448')"}, "OUTPUTS": {"": "E:/G\u7a7a\u9593\u60c5\u5831\u30bb\u30f3\u30bf\u30fc/29\u5948\u826f\u770c/93\u5317\u5c71\u30fb\u5341\u6d25\u5ddd\u68ee\u6797\u8a08\u753b\u533aTKY2JGD/\u7b2c6\u7cfb/\u6797\u9053.fgb"}}</t>
  </si>
  <si>
    <t>{"PARAMETERS": {"2": "'E:/G\u7a7a\u9593\u60c5\u5831\u30bb\u30f3\u30bf\u30fc/29\u5948\u826f\u770c/93\u5317\u5c71\u30fb\u5341\u6d25\u5ddd\u68ee\u6797\u8a08\u753b\u533a/\u7b2c6\u7cfb/\u4f5c\u696d\u9053.shp'", "crsjgd2000": "QgsCoordinateReferenceSystem('EPSG:2448')"}, "OUTPUTS": {"": "E:/G\u7a7a\u9593\u60c5\u5831\u30bb\u30f3\u30bf\u30fc/29\u5948\u826f\u770c/93\u5317\u5c71\u30fb\u5341\u6d25\u5ddd\u68ee\u6797\u8a08\u753b\u533aTKY2JGD/\u7b2c6\u7cfb/\u4f5c\u696d\u9053.fgb"}}</t>
  </si>
  <si>
    <t>{"PARAMETERS": {"2": "'E:/G\u7a7a\u9593\u60c5\u5831\u30bb\u30f3\u30bf\u30fc/29\u5948\u826f\u770c/93\u5317\u5c71\u30fb\u5341\u6d25\u5ddd\u68ee\u6797\u8a08\u753b\u533a/\u7b2c6\u7cfb/\u7b49\u9ad8\u7dda10m\u9593\u9694.shp'", "crsjgd2000": "QgsCoordinateReferenceSystem('EPSG:2448')"}, "OUTPUTS": {"": "E:/G\u7a7a\u9593\u60c5\u5831\u30bb\u30f3\u30bf\u30fc/29\u5948\u826f\u770c/93\u5317\u5c71\u30fb\u5341\u6d25\u5ddd\u68ee\u6797\u8a08\u753b\u533aTKY2JGD/\u7b2c6\u7cfb/\u7b49\u9ad8\u7dda10m\u9593\u9694.fgb"}}</t>
  </si>
  <si>
    <t>{"PARAMETERS": {"2": "'E:/G\u7a7a\u9593\u60c5\u5831\u30bb\u30f3\u30bf\u30fc/29\u5948\u826f\u770c/94\u5409\u91ce\u68ee\u6797\u8a08\u753b\u533a/\u7b2c6\u7cfb/\u5883\u754c.shp'", "crsjgd2000": "QgsCoordinateReferenceSystem('EPSG:2448')"}, "OUTPUTS": {"": "E:/G\u7a7a\u9593\u60c5\u5831\u30bb\u30f3\u30bf\u30fc/29\u5948\u826f\u770c/94\u5409\u91ce\u68ee\u6797\u8a08\u753b\u533aTKY2JGD/\u7b2c6\u7cfb/\u5883\u754c.fgb"}}</t>
  </si>
  <si>
    <t>{"PARAMETERS": {"2": "'E:/G\u7a7a\u9593\u60c5\u5831\u30bb\u30f3\u30bf\u30fc/29\u5948\u826f\u770c/94\u5409\u91ce\u68ee\u6797\u8a08\u753b\u533a/\u7b2c6\u7cfb/\u6797\u73ed\u754c.shp'", "crsjgd2000": "QgsCoordinateReferenceSystem('EPSG:2448')"}, "OUTPUTS": {"": "E:/G\u7a7a\u9593\u60c5\u5831\u30bb\u30f3\u30bf\u30fc/29\u5948\u826f\u770c/94\u5409\u91ce\u68ee\u6797\u8a08\u753b\u533aTKY2JGD/\u7b2c6\u7cfb/\u6797\u73ed\u754c.fgb"}}</t>
  </si>
  <si>
    <t>{"PARAMETERS": {"2": "'E:/G\u7a7a\u9593\u60c5\u5831\u30bb\u30f3\u30bf\u30fc/29\u5948\u826f\u770c/94\u5409\u91ce\u68ee\u6797\u8a08\u753b\u533a/\u7b2c6\u7cfb/\u6797\u73ed\u533a\u753b.shp'", "crsjgd2000": "QgsCoordinateReferenceSystem('EPSG:2448')"}, "OUTPUTS": {"": "E:/G\u7a7a\u9593\u60c5\u5831\u30bb\u30f3\u30bf\u30fc/29\u5948\u826f\u770c/94\u5409\u91ce\u68ee\u6797\u8a08\u753b\u533aTKY2JGD/\u7b2c6\u7cfb/\u6797\u73ed\u533a\u753b.fgb"}}</t>
  </si>
  <si>
    <t>{"PARAMETERS": {"2": "'E:/G\u7a7a\u9593\u60c5\u5831\u30bb\u30f3\u30bf\u30fc/29\u5948\u826f\u770c/94\u5409\u91ce\u68ee\u6797\u8a08\u753b\u533a/\u7b2c6\u7cfb/\u5c0f\u73ed\u754c.shp'", "crsjgd2000": "QgsCoordinateReferenceSystem('EPSG:2448')"}, "OUTPUTS": {"": "E:/G\u7a7a\u9593\u60c5\u5831\u30bb\u30f3\u30bf\u30fc/29\u5948\u826f\u770c/94\u5409\u91ce\u68ee\u6797\u8a08\u753b\u533aTKY2JGD/\u7b2c6\u7cfb/\u5c0f\u73ed\u754c.fgb"}}</t>
  </si>
  <si>
    <t>{"PARAMETERS": {"2": "'E:/G\u7a7a\u9593\u60c5\u5831\u30bb\u30f3\u30bf\u30fc/29\u5948\u826f\u770c/94\u5409\u91ce\u68ee\u6797\u8a08\u753b\u533a/\u7b2c6\u7cfb/\u5c0f\u73ed\u533a\u753b.shp'", "crsjgd2000": "QgsCoordinateReferenceSystem('EPSG:2448')"}, "OUTPUTS": {"": "E:/G\u7a7a\u9593\u60c5\u5831\u30bb\u30f3\u30bf\u30fc/29\u5948\u826f\u770c/94\u5409\u91ce\u68ee\u6797\u8a08\u753b\u533aTKY2JGD/\u7b2c6\u7cfb/\u5c0f\u73ed\u533a\u753b.fgb"}}</t>
  </si>
  <si>
    <t>{"PARAMETERS": {"2": "'E:/G\u7a7a\u9593\u60c5\u5831\u30bb\u30f3\u30bf\u30fc/29\u5948\u826f\u770c/94\u5409\u91ce\u68ee\u6797\u8a08\u753b\u533a/\u7b2c6\u7cfb/\u6797\u9053.shp'", "crsjgd2000": "QgsCoordinateReferenceSystem('EPSG:2448')"}, "OUTPUTS": {"": "E:/G\u7a7a\u9593\u60c5\u5831\u30bb\u30f3\u30bf\u30fc/29\u5948\u826f\u770c/94\u5409\u91ce\u68ee\u6797\u8a08\u753b\u533aTKY2JGD/\u7b2c6\u7cfb/\u6797\u9053.fgb"}}</t>
  </si>
  <si>
    <t>{"PARAMETERS": {"2": "'E:/G\u7a7a\u9593\u60c5\u5831\u30bb\u30f3\u30bf\u30fc/29\u5948\u826f\u770c/94\u5409\u91ce\u68ee\u6797\u8a08\u753b\u533a/\u7b2c6\u7cfb/\u4f5c\u696d\u9053.shp'", "crsjgd2000": "QgsCoordinateReferenceSystem('EPSG:2448')"}, "OUTPUTS": {"": "E:/G\u7a7a\u9593\u60c5\u5831\u30bb\u30f3\u30bf\u30fc/29\u5948\u826f\u770c/94\u5409\u91ce\u68ee\u6797\u8a08\u753b\u533aTKY2JGD/\u7b2c6\u7cfb/\u4f5c\u696d\u9053.fgb"}}</t>
  </si>
  <si>
    <t>{"PARAMETERS": {"2": "'E:/G\u7a7a\u9593\u60c5\u5831\u30bb\u30f3\u30bf\u30fc/29\u5948\u826f\u770c/94\u5409\u91ce\u68ee\u6797\u8a08\u753b\u533a/\u7b2c6\u7cfb/\u7b49\u9ad8\u7dda10m\u9593\u9694.shp'", "crsjgd2000": "QgsCoordinateReferenceSystem('EPSG:2448')"}, "OUTPUTS": {"": "E:/G\u7a7a\u9593\u60c5\u5831\u30bb\u30f3\u30bf\u30fc/29\u5948\u826f\u770c/94\u5409\u91ce\u68ee\u6797\u8a08\u753b\u533aTKY2JGD/\u7b2c6\u7cfb/\u7b49\u9ad8\u7dda10m\u9593\u9694.fgb"}}</t>
  </si>
  <si>
    <t>{"PARAMETERS": {"2": "'E:/G\u7a7a\u9593\u60c5\u5831\u30bb\u30f3\u30bf\u30fc/30\u548c\u6b4c\u5c71\u770c/95\u7d00\u5357\u68ee\u6797\u8a08\u753b\u533a/\u7b2c6\u7cfb/\u5883\u754c.shp'", "crsjgd2000": "QgsCoordinateReferenceSystem('EPSG:2448')"}, "OUTPUTS": {"": "E:/G\u7a7a\u9593\u60c5\u5831\u30bb\u30f3\u30bf\u30fc/30\u548c\u6b4c\u5c71\u770c/95\u7d00\u5357\u68ee\u6797\u8a08\u753b\u533aTKY2JGD/\u7b2c6\u7cfb/\u5883\u754c.fgb"}}</t>
  </si>
  <si>
    <t>{"PARAMETERS": {"2": "'E:/G\u7a7a\u9593\u60c5\u5831\u30bb\u30f3\u30bf\u30fc/30\u548c\u6b4c\u5c71\u770c/95\u7d00\u5357\u68ee\u6797\u8a08\u753b\u533a/\u7b2c6\u7cfb/\u6797\u73ed\u754c.shp'", "crsjgd2000": "QgsCoordinateReferenceSystem('EPSG:2448')"}, "OUTPUTS": {"": "E:/G\u7a7a\u9593\u60c5\u5831\u30bb\u30f3\u30bf\u30fc/30\u548c\u6b4c\u5c71\u770c/95\u7d00\u5357\u68ee\u6797\u8a08\u753b\u533aTKY2JGD/\u7b2c6\u7cfb/\u6797\u73ed\u754c.fgb"}}</t>
  </si>
  <si>
    <t>{"PARAMETERS": {"2": "'E:/G\u7a7a\u9593\u60c5\u5831\u30bb\u30f3\u30bf\u30fc/30\u548c\u6b4c\u5c71\u770c/95\u7d00\u5357\u68ee\u6797\u8a08\u753b\u533a/\u7b2c6\u7cfb/\u6797\u73ed\u533a\u753b.shp'", "crsjgd2000": "QgsCoordinateReferenceSystem('EPSG:2448')"}, "OUTPUTS": {"": "E:/G\u7a7a\u9593\u60c5\u5831\u30bb\u30f3\u30bf\u30fc/30\u548c\u6b4c\u5c71\u770c/95\u7d00\u5357\u68ee\u6797\u8a08\u753b\u533aTKY2JGD/\u7b2c6\u7cfb/\u6797\u73ed\u533a\u753b.fgb"}}</t>
  </si>
  <si>
    <t>{"PARAMETERS": {"2": "'E:/G\u7a7a\u9593\u60c5\u5831\u30bb\u30f3\u30bf\u30fc/30\u548c\u6b4c\u5c71\u770c/95\u7d00\u5357\u68ee\u6797\u8a08\u753b\u533a/\u7b2c6\u7cfb/\u5c0f\u73ed\u754c.shp'", "crsjgd2000": "QgsCoordinateReferenceSystem('EPSG:2448')"}, "OUTPUTS": {"": "E:/G\u7a7a\u9593\u60c5\u5831\u30bb\u30f3\u30bf\u30fc/30\u548c\u6b4c\u5c71\u770c/95\u7d00\u5357\u68ee\u6797\u8a08\u753b\u533aTKY2JGD/\u7b2c6\u7cfb/\u5c0f\u73ed\u754c.fgb"}}</t>
  </si>
  <si>
    <t>{"PARAMETERS": {"2": "'E:/G\u7a7a\u9593\u60c5\u5831\u30bb\u30f3\u30bf\u30fc/30\u548c\u6b4c\u5c71\u770c/95\u7d00\u5357\u68ee\u6797\u8a08\u753b\u533a/\u7b2c6\u7cfb/\u5c0f\u73ed\u533a\u753b.shp'", "crsjgd2000": "QgsCoordinateReferenceSystem('EPSG:2448')"}, "OUTPUTS": {"": "E:/G\u7a7a\u9593\u60c5\u5831\u30bb\u30f3\u30bf\u30fc/30\u548c\u6b4c\u5c71\u770c/95\u7d00\u5357\u68ee\u6797\u8a08\u753b\u533aTKY2JGD/\u7b2c6\u7cfb/\u5c0f\u73ed\u533a\u753b.fgb"}}</t>
  </si>
  <si>
    <t>{"PARAMETERS": {"2": "'E:/G\u7a7a\u9593\u60c5\u5831\u30bb\u30f3\u30bf\u30fc/30\u548c\u6b4c\u5c71\u770c/95\u7d00\u5357\u68ee\u6797\u8a08\u753b\u533a/\u7b2c6\u7cfb/\u6797\u9053.shp'", "crsjgd2000": "QgsCoordinateReferenceSystem('EPSG:2448')"}, "OUTPUTS": {"": "E:/G\u7a7a\u9593\u60c5\u5831\u30bb\u30f3\u30bf\u30fc/30\u548c\u6b4c\u5c71\u770c/95\u7d00\u5357\u68ee\u6797\u8a08\u753b\u533aTKY2JGD/\u7b2c6\u7cfb/\u6797\u9053.fgb"}}</t>
  </si>
  <si>
    <t>{"PARAMETERS": {"2": "'E:/G\u7a7a\u9593\u60c5\u5831\u30bb\u30f3\u30bf\u30fc/30\u548c\u6b4c\u5c71\u770c/95\u7d00\u5357\u68ee\u6797\u8a08\u753b\u533a/\u7b2c6\u7cfb/\u4f5c\u696d\u9053.shp'", "crsjgd2000": "QgsCoordinateReferenceSystem('EPSG:2448')"}, "OUTPUTS": {"": "E:/G\u7a7a\u9593\u60c5\u5831\u30bb\u30f3\u30bf\u30fc/30\u548c\u6b4c\u5c71\u770c/95\u7d00\u5357\u68ee\u6797\u8a08\u753b\u533aTKY2JGD/\u7b2c6\u7cfb/\u4f5c\u696d\u9053.fgb"}}</t>
  </si>
  <si>
    <t>{"PARAMETERS": {"2": "'E:/G\u7a7a\u9593\u60c5\u5831\u30bb\u30f3\u30bf\u30fc/30\u548c\u6b4c\u5c71\u770c/95\u7d00\u5357\u68ee\u6797\u8a08\u753b\u533a/\u7b2c6\u7cfb/\u7b49\u9ad8\u7dda10m\u9593\u9694.shp'", "crsjgd2000": "QgsCoordinateReferenceSystem('EPSG:2448')"}, "OUTPUTS": {"": "E:/G\u7a7a\u9593\u60c5\u5831\u30bb\u30f3\u30bf\u30fc/30\u548c\u6b4c\u5c71\u770c/95\u7d00\u5357\u68ee\u6797\u8a08\u753b\u533aTKY2JGD/\u7b2c6\u7cfb/\u7b49\u9ad8\u7dda10m\u9593\u9694.fgb"}}</t>
  </si>
  <si>
    <t>{"PARAMETERS": {"2": "'E:/G\u7a7a\u9593\u60c5\u5831\u30bb\u30f3\u30bf\u30fc/30\u548c\u6b4c\u5c71\u770c/96\u7d00\u5317\u68ee\u6797\u8a08\u753b\u533a/\u7b2c6\u7cfb/\u5883\u754c.shp'", "crsjgd2000": "QgsCoordinateReferenceSystem('EPSG:2448')"}, "OUTPUTS": {"": "E:/G\u7a7a\u9593\u60c5\u5831\u30bb\u30f3\u30bf\u30fc/30\u548c\u6b4c\u5c71\u770c/96\u7d00\u5317\u68ee\u6797\u8a08\u753b\u533aTKY2JGD/\u7b2c6\u7cfb/\u5883\u754c.fgb"}}</t>
  </si>
  <si>
    <t>{"PARAMETERS": {"2": "'E:/G\u7a7a\u9593\u60c5\u5831\u30bb\u30f3\u30bf\u30fc/30\u548c\u6b4c\u5c71\u770c/96\u7d00\u5317\u68ee\u6797\u8a08\u753b\u533a/\u7b2c6\u7cfb/\u6797\u73ed\u754c.shp'", "crsjgd2000": "QgsCoordinateReferenceSystem('EPSG:2448')"}, "OUTPUTS": {"": "E:/G\u7a7a\u9593\u60c5\u5831\u30bb\u30f3\u30bf\u30fc/30\u548c\u6b4c\u5c71\u770c/96\u7d00\u5317\u68ee\u6797\u8a08\u753b\u533aTKY2JGD/\u7b2c6\u7cfb/\u6797\u73ed\u754c.fgb"}}</t>
  </si>
  <si>
    <t>{"PARAMETERS": {"2": "'E:/G\u7a7a\u9593\u60c5\u5831\u30bb\u30f3\u30bf\u30fc/30\u548c\u6b4c\u5c71\u770c/96\u7d00\u5317\u68ee\u6797\u8a08\u753b\u533a/\u7b2c6\u7cfb/\u6797\u73ed\u533a\u753b.shp'", "crsjgd2000": "QgsCoordinateReferenceSystem('EPSG:2448')"}, "OUTPUTS": {"": "E:/G\u7a7a\u9593\u60c5\u5831\u30bb\u30f3\u30bf\u30fc/30\u548c\u6b4c\u5c71\u770c/96\u7d00\u5317\u68ee\u6797\u8a08\u753b\u533aTKY2JGD/\u7b2c6\u7cfb/\u6797\u73ed\u533a\u753b.fgb"}}</t>
  </si>
  <si>
    <t>{"PARAMETERS": {"2": "'E:/G\u7a7a\u9593\u60c5\u5831\u30bb\u30f3\u30bf\u30fc/30\u548c\u6b4c\u5c71\u770c/96\u7d00\u5317\u68ee\u6797\u8a08\u753b\u533a/\u7b2c6\u7cfb/\u5c0f\u73ed\u754c.shp'", "crsjgd2000": "QgsCoordinateReferenceSystem('EPSG:2448')"}, "OUTPUTS": {"": "E:/G\u7a7a\u9593\u60c5\u5831\u30bb\u30f3\u30bf\u30fc/30\u548c\u6b4c\u5c71\u770c/96\u7d00\u5317\u68ee\u6797\u8a08\u753b\u533aTKY2JGD/\u7b2c6\u7cfb/\u5c0f\u73ed\u754c.fgb"}}</t>
  </si>
  <si>
    <t>{"PARAMETERS": {"2": "'E:/G\u7a7a\u9593\u60c5\u5831\u30bb\u30f3\u30bf\u30fc/30\u548c\u6b4c\u5c71\u770c/96\u7d00\u5317\u68ee\u6797\u8a08\u753b\u533a/\u7b2c6\u7cfb/\u5c0f\u73ed\u533a\u753b.shp'", "crsjgd2000": "QgsCoordinateReferenceSystem('EPSG:2448')"}, "OUTPUTS": {"": "E:/G\u7a7a\u9593\u60c5\u5831\u30bb\u30f3\u30bf\u30fc/30\u548c\u6b4c\u5c71\u770c/96\u7d00\u5317\u68ee\u6797\u8a08\u753b\u533aTKY2JGD/\u7b2c6\u7cfb/\u5c0f\u73ed\u533a\u753b.fgb"}}</t>
  </si>
  <si>
    <t>{"PARAMETERS": {"2": "'E:/G\u7a7a\u9593\u60c5\u5831\u30bb\u30f3\u30bf\u30fc/30\u548c\u6b4c\u5c71\u770c/96\u7d00\u5317\u68ee\u6797\u8a08\u753b\u533a/\u7b2c6\u7cfb/\u6797\u9053.shp'", "crsjgd2000": "QgsCoordinateReferenceSystem('EPSG:2448')"}, "OUTPUTS": {"": "E:/G\u7a7a\u9593\u60c5\u5831\u30bb\u30f3\u30bf\u30fc/30\u548c\u6b4c\u5c71\u770c/96\u7d00\u5317\u68ee\u6797\u8a08\u753b\u533aTKY2JGD/\u7b2c6\u7cfb/\u6797\u9053.fgb"}}</t>
  </si>
  <si>
    <t>{"PARAMETERS": {"2": "'E:/G\u7a7a\u9593\u60c5\u5831\u30bb\u30f3\u30bf\u30fc/30\u548c\u6b4c\u5c71\u770c/96\u7d00\u5317\u68ee\u6797\u8a08\u753b\u533a/\u7b2c6\u7cfb/\u4f5c\u696d\u9053.shp'", "crsjgd2000": "QgsCoordinateReferenceSystem('EPSG:2448')"}, "OUTPUTS": {"": "E:/G\u7a7a\u9593\u60c5\u5831\u30bb\u30f3\u30bf\u30fc/30\u548c\u6b4c\u5c71\u770c/96\u7d00\u5317\u68ee\u6797\u8a08\u753b\u533aTKY2JGD/\u7b2c6\u7cfb/\u4f5c\u696d\u9053.fgb"}}</t>
  </si>
  <si>
    <t>{"PARAMETERS": {"2": "'E:/G\u7a7a\u9593\u60c5\u5831\u30bb\u30f3\u30bf\u30fc/30\u548c\u6b4c\u5c71\u770c/96\u7d00\u5317\u68ee\u6797\u8a08\u753b\u533a/\u7b2c6\u7cfb/\u7b49\u9ad8\u7dda10m\u9593\u9694.shp'", "crsjgd2000": "QgsCoordinateReferenceSystem('EPSG:2448')"}, "OUTPUTS": {"": "E:/G\u7a7a\u9593\u60c5\u5831\u30bb\u30f3\u30bf\u30fc/30\u548c\u6b4c\u5c71\u770c/96\u7d00\u5317\u68ee\u6797\u8a08\u753b\u533aTKY2JGD/\u7b2c6\u7cfb/\u7b49\u9ad8\u7dda10m\u9593\u9694.fgb"}}</t>
  </si>
  <si>
    <t>{"PARAMETERS": {"2": "'E:/G\u7a7a\u9593\u60c5\u5831\u30bb\u30f3\u30bf\u30fc/30\u548c\u6b4c\u5c71\u770c/97\u7d00\u4e2d\u68ee\u6797\u8a08\u753b\u533a/\u7b2c6\u7cfb/\u5883\u754c.shp'", "crsjgd2000": "QgsCoordinateReferenceSystem('EPSG:2448')"}, "OUTPUTS": {"": "E:/G\u7a7a\u9593\u60c5\u5831\u30bb\u30f3\u30bf\u30fc/30\u548c\u6b4c\u5c71\u770c/97\u7d00\u4e2d\u68ee\u6797\u8a08\u753b\u533aTKY2JGD/\u7b2c6\u7cfb/\u5883\u754c.fgb"}}</t>
  </si>
  <si>
    <t>{"PARAMETERS": {"2": "'E:/G\u7a7a\u9593\u60c5\u5831\u30bb\u30f3\u30bf\u30fc/30\u548c\u6b4c\u5c71\u770c/97\u7d00\u4e2d\u68ee\u6797\u8a08\u753b\u533a/\u7b2c6\u7cfb/\u6797\u73ed\u754c.shp'", "crsjgd2000": "QgsCoordinateReferenceSystem('EPSG:2448')"}, "OUTPUTS": {"": "E:/G\u7a7a\u9593\u60c5\u5831\u30bb\u30f3\u30bf\u30fc/30\u548c\u6b4c\u5c71\u770c/97\u7d00\u4e2d\u68ee\u6797\u8a08\u753b\u533aTKY2JGD/\u7b2c6\u7cfb/\u6797\u73ed\u754c.fgb"}}</t>
  </si>
  <si>
    <t>{"PARAMETERS": {"2": "'E:/G\u7a7a\u9593\u60c5\u5831\u30bb\u30f3\u30bf\u30fc/30\u548c\u6b4c\u5c71\u770c/97\u7d00\u4e2d\u68ee\u6797\u8a08\u753b\u533a/\u7b2c6\u7cfb/\u6797\u73ed\u533a\u753b.shp'", "crsjgd2000": "QgsCoordinateReferenceSystem('EPSG:2448')"}, "OUTPUTS": {"": "E:/G\u7a7a\u9593\u60c5\u5831\u30bb\u30f3\u30bf\u30fc/30\u548c\u6b4c\u5c71\u770c/97\u7d00\u4e2d\u68ee\u6797\u8a08\u753b\u533aTKY2JGD/\u7b2c6\u7cfb/\u6797\u73ed\u533a\u753b.fgb"}}</t>
  </si>
  <si>
    <t>{"PARAMETERS": {"2": "'E:/G\u7a7a\u9593\u60c5\u5831\u30bb\u30f3\u30bf\u30fc/30\u548c\u6b4c\u5c71\u770c/97\u7d00\u4e2d\u68ee\u6797\u8a08\u753b\u533a/\u7b2c6\u7cfb/\u5c0f\u73ed\u754c.shp'", "crsjgd2000": "QgsCoordinateReferenceSystem('EPSG:2448')"}, "OUTPUTS": {"": "E:/G\u7a7a\u9593\u60c5\u5831\u30bb\u30f3\u30bf\u30fc/30\u548c\u6b4c\u5c71\u770c/97\u7d00\u4e2d\u68ee\u6797\u8a08\u753b\u533aTKY2JGD/\u7b2c6\u7cfb/\u5c0f\u73ed\u754c.fgb"}}</t>
  </si>
  <si>
    <t>{"PARAMETERS": {"2": "'E:/G\u7a7a\u9593\u60c5\u5831\u30bb\u30f3\u30bf\u30fc/30\u548c\u6b4c\u5c71\u770c/97\u7d00\u4e2d\u68ee\u6797\u8a08\u753b\u533a/\u7b2c6\u7cfb/\u5c0f\u73ed\u533a\u753b.shp'", "crsjgd2000": "QgsCoordinateReferenceSystem('EPSG:2448')"}, "OUTPUTS": {"": "E:/G\u7a7a\u9593\u60c5\u5831\u30bb\u30f3\u30bf\u30fc/30\u548c\u6b4c\u5c71\u770c/97\u7d00\u4e2d\u68ee\u6797\u8a08\u753b\u533aTKY2JGD/\u7b2c6\u7cfb/\u5c0f\u73ed\u533a\u753b.fgb"}}</t>
  </si>
  <si>
    <t>{"PARAMETERS": {"2": "'E:/G\u7a7a\u9593\u60c5\u5831\u30bb\u30f3\u30bf\u30fc/30\u548c\u6b4c\u5c71\u770c/97\u7d00\u4e2d\u68ee\u6797\u8a08\u753b\u533a/\u7b2c6\u7cfb/\u6797\u9053.shp'", "crsjgd2000": "QgsCoordinateReferenceSystem('EPSG:2448')"}, "OUTPUTS": {"": "E:/G\u7a7a\u9593\u60c5\u5831\u30bb\u30f3\u30bf\u30fc/30\u548c\u6b4c\u5c71\u770c/97\u7d00\u4e2d\u68ee\u6797\u8a08\u753b\u533aTKY2JGD/\u7b2c6\u7cfb/\u6797\u9053.fgb"}}</t>
  </si>
  <si>
    <t>{"PARAMETERS": {"2": "'E:/G\u7a7a\u9593\u60c5\u5831\u30bb\u30f3\u30bf\u30fc/30\u548c\u6b4c\u5c71\u770c/97\u7d00\u4e2d\u68ee\u6797\u8a08\u753b\u533a/\u7b2c6\u7cfb/\u4f5c\u696d\u9053.shp'", "crsjgd2000": "QgsCoordinateReferenceSystem('EPSG:2448')"}, "OUTPUTS": {"": "E:/G\u7a7a\u9593\u60c5\u5831\u30bb\u30f3\u30bf\u30fc/30\u548c\u6b4c\u5c71\u770c/97\u7d00\u4e2d\u68ee\u6797\u8a08\u753b\u533aTKY2JGD/\u7b2c6\u7cfb/\u4f5c\u696d\u9053.fgb"}}</t>
  </si>
  <si>
    <t>{"PARAMETERS": {"2": "'E:/G\u7a7a\u9593\u60c5\u5831\u30bb\u30f3\u30bf\u30fc/30\u548c\u6b4c\u5c71\u770c/97\u7d00\u4e2d\u68ee\u6797\u8a08\u753b\u533a/\u7b2c6\u7cfb/\u7b49\u9ad8\u7dda10m\u9593\u9694.shp'", "crsjgd2000": "QgsCoordinateReferenceSystem('EPSG:2448')"}, "OUTPUTS": {"": "E:/G\u7a7a\u9593\u60c5\u5831\u30bb\u30f3\u30bf\u30fc/30\u548c\u6b4c\u5c71\u770c/97\u7d00\u4e2d\u68ee\u6797\u8a08\u753b\u533aTKY2JGD/\u7b2c6\u7cfb/\u7b49\u9ad8\u7dda10m\u9593\u9694.fgb"}}</t>
  </si>
  <si>
    <t>{"PARAMETERS": {"2": "'E:/G\u7a7a\u9593\u60c5\u5831\u30bb\u30f3\u30bf\u30fc/31\u9ce5\u53d6\u770c/100\u5343\u4ee3\u5ddd\u68ee\u6797\u8a08\u753b\u533a/\u7b2c5\u7cfb/\u5883\u754c.shp'", "crsjgd2000": "QgsCoordinateReferenceSystem('EPSG:2447')"}, "OUTPUTS": {"": "E:/G\u7a7a\u9593\u60c5\u5831\u30bb\u30f3\u30bf\u30fc/31\u9ce5\u53d6\u770c/100\u5343\u4ee3\u5ddd\u68ee\u6797\u8a08\u753b\u533aTKY2JGD/\u7b2c5\u7cfb/\u5883\u754c.fgb"}}</t>
  </si>
  <si>
    <t>{"PARAMETERS": {"2": "'E:/G\u7a7a\u9593\u60c5\u5831\u30bb\u30f3\u30bf\u30fc/31\u9ce5\u53d6\u770c/100\u5343\u4ee3\u5ddd\u68ee\u6797\u8a08\u753b\u533a/\u7b2c5\u7cfb/\u6797\u73ed\u754c.shp'", "crsjgd2000": "QgsCoordinateReferenceSystem('EPSG:2447')"}, "OUTPUTS": {"": "E:/G\u7a7a\u9593\u60c5\u5831\u30bb\u30f3\u30bf\u30fc/31\u9ce5\u53d6\u770c/100\u5343\u4ee3\u5ddd\u68ee\u6797\u8a08\u753b\u533aTKY2JGD/\u7b2c5\u7cfb/\u6797\u73ed\u754c.fgb"}}</t>
  </si>
  <si>
    <t>{"PARAMETERS": {"2": "'E:/G\u7a7a\u9593\u60c5\u5831\u30bb\u30f3\u30bf\u30fc/31\u9ce5\u53d6\u770c/100\u5343\u4ee3\u5ddd\u68ee\u6797\u8a08\u753b\u533a/\u7b2c5\u7cfb/\u6797\u73ed\u533a\u753b.shp'", "crsjgd2000": "QgsCoordinateReferenceSystem('EPSG:2447')"}, "OUTPUTS": {"": "E:/G\u7a7a\u9593\u60c5\u5831\u30bb\u30f3\u30bf\u30fc/31\u9ce5\u53d6\u770c/100\u5343\u4ee3\u5ddd\u68ee\u6797\u8a08\u753b\u533aTKY2JGD/\u7b2c5\u7cfb/\u6797\u73ed\u533a\u753b.fgb"}}</t>
  </si>
  <si>
    <t>{"PARAMETERS": {"2": "'E:/G\u7a7a\u9593\u60c5\u5831\u30bb\u30f3\u30bf\u30fc/31\u9ce5\u53d6\u770c/100\u5343\u4ee3\u5ddd\u68ee\u6797\u8a08\u753b\u533a/\u7b2c5\u7cfb/\u5c0f\u73ed\u754c.shp'", "crsjgd2000": "QgsCoordinateReferenceSystem('EPSG:2447')"}, "OUTPUTS": {"": "E:/G\u7a7a\u9593\u60c5\u5831\u30bb\u30f3\u30bf\u30fc/31\u9ce5\u53d6\u770c/100\u5343\u4ee3\u5ddd\u68ee\u6797\u8a08\u753b\u533aTKY2JGD/\u7b2c5\u7cfb/\u5c0f\u73ed\u754c.fgb"}}</t>
  </si>
  <si>
    <t>{"PARAMETERS": {"2": "'E:/G\u7a7a\u9593\u60c5\u5831\u30bb\u30f3\u30bf\u30fc/31\u9ce5\u53d6\u770c/100\u5343\u4ee3\u5ddd\u68ee\u6797\u8a08\u753b\u533a/\u7b2c5\u7cfb/\u5c0f\u73ed\u533a\u753b.shp'", "crsjgd2000": "QgsCoordinateReferenceSystem('EPSG:2447')"}, "OUTPUTS": {"": "E:/G\u7a7a\u9593\u60c5\u5831\u30bb\u30f3\u30bf\u30fc/31\u9ce5\u53d6\u770c/100\u5343\u4ee3\u5ddd\u68ee\u6797\u8a08\u753b\u533aTKY2JGD/\u7b2c5\u7cfb/\u5c0f\u73ed\u533a\u753b.fgb"}}</t>
  </si>
  <si>
    <t>{"PARAMETERS": {"2": "'E:/G\u7a7a\u9593\u60c5\u5831\u30bb\u30f3\u30bf\u30fc/31\u9ce5\u53d6\u770c/100\u5343\u4ee3\u5ddd\u68ee\u6797\u8a08\u753b\u533a/\u7b2c5\u7cfb/\u6797\u9053.shp'", "crsjgd2000": "QgsCoordinateReferenceSystem('EPSG:2447')"}, "OUTPUTS": {"": "E:/G\u7a7a\u9593\u60c5\u5831\u30bb\u30f3\u30bf\u30fc/31\u9ce5\u53d6\u770c/100\u5343\u4ee3\u5ddd\u68ee\u6797\u8a08\u753b\u533aTKY2JGD/\u7b2c5\u7cfb/\u6797\u9053.fgb"}}</t>
  </si>
  <si>
    <t>{"PARAMETERS": {"2": "'E:/G\u7a7a\u9593\u60c5\u5831\u30bb\u30f3\u30bf\u30fc/31\u9ce5\u53d6\u770c/100\u5343\u4ee3\u5ddd\u68ee\u6797\u8a08\u753b\u533a/\u7b2c5\u7cfb/\u4f5c\u696d\u9053.shp'", "crsjgd2000": "QgsCoordinateReferenceSystem('EPSG:2447')"}, "OUTPUTS": {"": "E:/G\u7a7a\u9593\u60c5\u5831\u30bb\u30f3\u30bf\u30fc/31\u9ce5\u53d6\u770c/100\u5343\u4ee3\u5ddd\u68ee\u6797\u8a08\u753b\u533aTKY2JGD/\u7b2c5\u7cfb/\u4f5c\u696d\u9053.fgb"}}</t>
  </si>
  <si>
    <t>{"PARAMETERS": {"2": "'E:/G\u7a7a\u9593\u60c5\u5831\u30bb\u30f3\u30bf\u30fc/31\u9ce5\u53d6\u770c/100\u5343\u4ee3\u5ddd\u68ee\u6797\u8a08\u753b\u533a/\u7b2c5\u7cfb/\u7b49\u9ad8\u7dda10m\u9593\u9694.shp'", "crsjgd2000": "QgsCoordinateReferenceSystem('EPSG:2447')"}, "OUTPUTS": {"": "E:/G\u7a7a\u9593\u60c5\u5831\u30bb\u30f3\u30bf\u30fc/31\u9ce5\u53d6\u770c/100\u5343\u4ee3\u5ddd\u68ee\u6797\u8a08\u753b\u533aTKY2JGD/\u7b2c5\u7cfb/\u7b49\u9ad8\u7dda10m\u9593\u9694.fgb"}}</t>
  </si>
  <si>
    <t>{"PARAMETERS": {"2": "'E:/G\u7a7a\u9593\u60c5\u5831\u30bb\u30f3\u30bf\u30fc/31\u9ce5\u53d6\u770c/98\u65e5\u91ce\u5ddd\u68ee\u6797\u8a08\u753b\u533a/\u7b2c5\u7cfb/\u5883\u754c.shp'", "crsjgd2000": "QgsCoordinateReferenceSystem('EPSG:2447')"}, "OUTPUTS": {"": "E:/G\u7a7a\u9593\u60c5\u5831\u30bb\u30f3\u30bf\u30fc/31\u9ce5\u53d6\u770c/98\u65e5\u91ce\u5ddd\u68ee\u6797\u8a08\u753b\u533aTKY2JGD/\u7b2c5\u7cfb/\u5883\u754c.fgb"}}</t>
  </si>
  <si>
    <t>{"PARAMETERS": {"2": "'E:/G\u7a7a\u9593\u60c5\u5831\u30bb\u30f3\u30bf\u30fc/31\u9ce5\u53d6\u770c/98\u65e5\u91ce\u5ddd\u68ee\u6797\u8a08\u753b\u533a/\u7b2c5\u7cfb/\u6797\u73ed\u754c.shp'", "crsjgd2000": "QgsCoordinateReferenceSystem('EPSG:2447')"}, "OUTPUTS": {"": "E:/G\u7a7a\u9593\u60c5\u5831\u30bb\u30f3\u30bf\u30fc/31\u9ce5\u53d6\u770c/98\u65e5\u91ce\u5ddd\u68ee\u6797\u8a08\u753b\u533aTKY2JGD/\u7b2c5\u7cfb/\u6797\u73ed\u754c.fgb"}}</t>
  </si>
  <si>
    <t>{"PARAMETERS": {"2": "'E:/G\u7a7a\u9593\u60c5\u5831\u30bb\u30f3\u30bf\u30fc/31\u9ce5\u53d6\u770c/98\u65e5\u91ce\u5ddd\u68ee\u6797\u8a08\u753b\u533a/\u7b2c5\u7cfb/\u6797\u73ed\u533a\u753b.shp'", "crsjgd2000": "QgsCoordinateReferenceSystem('EPSG:2447')"}, "OUTPUTS": {"": "E:/G\u7a7a\u9593\u60c5\u5831\u30bb\u30f3\u30bf\u30fc/31\u9ce5\u53d6\u770c/98\u65e5\u91ce\u5ddd\u68ee\u6797\u8a08\u753b\u533aTKY2JGD/\u7b2c5\u7cfb/\u6797\u73ed\u533a\u753b.fgb"}}</t>
  </si>
  <si>
    <t>{"PARAMETERS": {"2": "'E:/G\u7a7a\u9593\u60c5\u5831\u30bb\u30f3\u30bf\u30fc/31\u9ce5\u53d6\u770c/98\u65e5\u91ce\u5ddd\u68ee\u6797\u8a08\u753b\u533a/\u7b2c5\u7cfb/\u5c0f\u73ed\u754c.shp'", "crsjgd2000": "QgsCoordinateReferenceSystem('EPSG:2447')"}, "OUTPUTS": {"": "E:/G\u7a7a\u9593\u60c5\u5831\u30bb\u30f3\u30bf\u30fc/31\u9ce5\u53d6\u770c/98\u65e5\u91ce\u5ddd\u68ee\u6797\u8a08\u753b\u533aTKY2JGD/\u7b2c5\u7cfb/\u5c0f\u73ed\u754c.fgb"}}</t>
  </si>
  <si>
    <t>{"PARAMETERS": {"2": "'E:/G\u7a7a\u9593\u60c5\u5831\u30bb\u30f3\u30bf\u30fc/31\u9ce5\u53d6\u770c/98\u65e5\u91ce\u5ddd\u68ee\u6797\u8a08\u753b\u533a/\u7b2c5\u7cfb/\u5c0f\u73ed\u533a\u753b.shp'", "crsjgd2000": "QgsCoordinateReferenceSystem('EPSG:2447')"}, "OUTPUTS": {"": "E:/G\u7a7a\u9593\u60c5\u5831\u30bb\u30f3\u30bf\u30fc/31\u9ce5\u53d6\u770c/98\u65e5\u91ce\u5ddd\u68ee\u6797\u8a08\u753b\u533aTKY2JGD/\u7b2c5\u7cfb/\u5c0f\u73ed\u533a\u753b.fgb"}}</t>
  </si>
  <si>
    <t>{"PARAMETERS": {"2": "'E:/G\u7a7a\u9593\u60c5\u5831\u30bb\u30f3\u30bf\u30fc/31\u9ce5\u53d6\u770c/98\u65e5\u91ce\u5ddd\u68ee\u6797\u8a08\u753b\u533a/\u7b2c5\u7cfb/\u6797\u9053.shp'", "crsjgd2000": "QgsCoordinateReferenceSystem('EPSG:2447')"}, "OUTPUTS": {"": "E:/G\u7a7a\u9593\u60c5\u5831\u30bb\u30f3\u30bf\u30fc/31\u9ce5\u53d6\u770c/98\u65e5\u91ce\u5ddd\u68ee\u6797\u8a08\u753b\u533aTKY2JGD/\u7b2c5\u7cfb/\u6797\u9053.fgb"}}</t>
  </si>
  <si>
    <t>{"PARAMETERS": {"2": "'E:/G\u7a7a\u9593\u60c5\u5831\u30bb\u30f3\u30bf\u30fc/31\u9ce5\u53d6\u770c/98\u65e5\u91ce\u5ddd\u68ee\u6797\u8a08\u753b\u533a/\u7b2c5\u7cfb/\u4f5c\u696d\u9053.shp'", "crsjgd2000": "QgsCoordinateReferenceSystem('EPSG:2447')"}, "OUTPUTS": {"": "E:/G\u7a7a\u9593\u60c5\u5831\u30bb\u30f3\u30bf\u30fc/31\u9ce5\u53d6\u770c/98\u65e5\u91ce\u5ddd\u68ee\u6797\u8a08\u753b\u533aTKY2JGD/\u7b2c5\u7cfb/\u4f5c\u696d\u9053.fgb"}}</t>
  </si>
  <si>
    <t>{"PARAMETERS": {"2": "'E:/G\u7a7a\u9593\u60c5\u5831\u30bb\u30f3\u30bf\u30fc/31\u9ce5\u53d6\u770c/98\u65e5\u91ce\u5ddd\u68ee\u6797\u8a08\u753b\u533a/\u7b2c5\u7cfb/\u7b49\u9ad8\u7dda10m\u9593\u9694.shp'", "crsjgd2000": "QgsCoordinateReferenceSystem('EPSG:2447')"}, "OUTPUTS": {"": "E:/G\u7a7a\u9593\u60c5\u5831\u30bb\u30f3\u30bf\u30fc/31\u9ce5\u53d6\u770c/98\u65e5\u91ce\u5ddd\u68ee\u6797\u8a08\u753b\u533aTKY2JGD/\u7b2c5\u7cfb/\u7b49\u9ad8\u7dda10m\u9593\u9694.fgb"}}</t>
  </si>
  <si>
    <t>{"PARAMETERS": {"2": "'E:/G\u7a7a\u9593\u60c5\u5831\u30bb\u30f3\u30bf\u30fc/31\u9ce5\u53d6\u770c/99\u5929\u795e\u5ddd\u68ee\u6797\u8a08\u753b\u533a/\u7b2c5\u7cfb/\u5883\u754c.shp'", "crsjgd2000": "QgsCoordinateReferenceSystem('EPSG:2447')"}, "OUTPUTS": {"": "E:/G\u7a7a\u9593\u60c5\u5831\u30bb\u30f3\u30bf\u30fc/31\u9ce5\u53d6\u770c/99\u5929\u795e\u5ddd\u68ee\u6797\u8a08\u753b\u533aTKY2JGD/\u7b2c5\u7cfb/\u5883\u754c.fgb"}}</t>
  </si>
  <si>
    <t>{"PARAMETERS": {"2": "'E:/G\u7a7a\u9593\u60c5\u5831\u30bb\u30f3\u30bf\u30fc/31\u9ce5\u53d6\u770c/99\u5929\u795e\u5ddd\u68ee\u6797\u8a08\u753b\u533a/\u7b2c5\u7cfb/\u6797\u73ed\u754c.shp'", "crsjgd2000": "QgsCoordinateReferenceSystem('EPSG:2447')"}, "OUTPUTS": {"": "E:/G\u7a7a\u9593\u60c5\u5831\u30bb\u30f3\u30bf\u30fc/31\u9ce5\u53d6\u770c/99\u5929\u795e\u5ddd\u68ee\u6797\u8a08\u753b\u533aTKY2JGD/\u7b2c5\u7cfb/\u6797\u73ed\u754c.fgb"}}</t>
  </si>
  <si>
    <t>{"PARAMETERS": {"2": "'E:/G\u7a7a\u9593\u60c5\u5831\u30bb\u30f3\u30bf\u30fc/31\u9ce5\u53d6\u770c/99\u5929\u795e\u5ddd\u68ee\u6797\u8a08\u753b\u533a/\u7b2c5\u7cfb/\u6797\u73ed\u533a\u753b.shp'", "crsjgd2000": "QgsCoordinateReferenceSystem('EPSG:2447')"}, "OUTPUTS": {"": "E:/G\u7a7a\u9593\u60c5\u5831\u30bb\u30f3\u30bf\u30fc/31\u9ce5\u53d6\u770c/99\u5929\u795e\u5ddd\u68ee\u6797\u8a08\u753b\u533aTKY2JGD/\u7b2c5\u7cfb/\u6797\u73ed\u533a\u753b.fgb"}}</t>
  </si>
  <si>
    <t>{"PARAMETERS": {"2": "'E:/G\u7a7a\u9593\u60c5\u5831\u30bb\u30f3\u30bf\u30fc/31\u9ce5\u53d6\u770c/99\u5929\u795e\u5ddd\u68ee\u6797\u8a08\u753b\u533a/\u7b2c5\u7cfb/\u5c0f\u73ed\u754c.shp'", "crsjgd2000": "QgsCoordinateReferenceSystem('EPSG:2447')"}, "OUTPUTS": {"": "E:/G\u7a7a\u9593\u60c5\u5831\u30bb\u30f3\u30bf\u30fc/31\u9ce5\u53d6\u770c/99\u5929\u795e\u5ddd\u68ee\u6797\u8a08\u753b\u533aTKY2JGD/\u7b2c5\u7cfb/\u5c0f\u73ed\u754c.fgb"}}</t>
  </si>
  <si>
    <t>{"PARAMETERS": {"2": "'E:/G\u7a7a\u9593\u60c5\u5831\u30bb\u30f3\u30bf\u30fc/31\u9ce5\u53d6\u770c/99\u5929\u795e\u5ddd\u68ee\u6797\u8a08\u753b\u533a/\u7b2c5\u7cfb/\u5c0f\u73ed\u533a\u753b.shp'", "crsjgd2000": "QgsCoordinateReferenceSystem('EPSG:2447')"}, "OUTPUTS": {"": "E:/G\u7a7a\u9593\u60c5\u5831\u30bb\u30f3\u30bf\u30fc/31\u9ce5\u53d6\u770c/99\u5929\u795e\u5ddd\u68ee\u6797\u8a08\u753b\u533aTKY2JGD/\u7b2c5\u7cfb/\u5c0f\u73ed\u533a\u753b.fgb"}}</t>
  </si>
  <si>
    <t>{"PARAMETERS": {"2": "'E:/G\u7a7a\u9593\u60c5\u5831\u30bb\u30f3\u30bf\u30fc/31\u9ce5\u53d6\u770c/99\u5929\u795e\u5ddd\u68ee\u6797\u8a08\u753b\u533a/\u7b2c5\u7cfb/\u6797\u9053.shp'", "crsjgd2000": "QgsCoordinateReferenceSystem('EPSG:2447')"}, "OUTPUTS": {"": "E:/G\u7a7a\u9593\u60c5\u5831\u30bb\u30f3\u30bf\u30fc/31\u9ce5\u53d6\u770c/99\u5929\u795e\u5ddd\u68ee\u6797\u8a08\u753b\u533aTKY2JGD/\u7b2c5\u7cfb/\u6797\u9053.fgb"}}</t>
  </si>
  <si>
    <t>{"PARAMETERS": {"2": "'E:/G\u7a7a\u9593\u60c5\u5831\u30bb\u30f3\u30bf\u30fc/31\u9ce5\u53d6\u770c/99\u5929\u795e\u5ddd\u68ee\u6797\u8a08\u753b\u533a/\u7b2c5\u7cfb/\u4f5c\u696d\u9053.shp'", "crsjgd2000": "QgsCoordinateReferenceSystem('EPSG:2447')"}, "OUTPUTS": {"": "E:/G\u7a7a\u9593\u60c5\u5831\u30bb\u30f3\u30bf\u30fc/31\u9ce5\u53d6\u770c/99\u5929\u795e\u5ddd\u68ee\u6797\u8a08\u753b\u533aTKY2JGD/\u7b2c5\u7cfb/\u4f5c\u696d\u9053.fgb"}}</t>
  </si>
  <si>
    <t>{"PARAMETERS": {"2": "'E:/G\u7a7a\u9593\u60c5\u5831\u30bb\u30f3\u30bf\u30fc/31\u9ce5\u53d6\u770c/99\u5929\u795e\u5ddd\u68ee\u6797\u8a08\u753b\u533a/\u7b2c5\u7cfb/\u7b49\u9ad8\u7dda10m\u9593\u9694.shp'", "crsjgd2000": "QgsCoordinateReferenceSystem('EPSG:2447')"}, "OUTPUTS": {"": "E:/G\u7a7a\u9593\u60c5\u5831\u30bb\u30f3\u30bf\u30fc/31\u9ce5\u53d6\u770c/99\u5929\u795e\u5ddd\u68ee\u6797\u8a08\u753b\u533aTKY2JGD/\u7b2c5\u7cfb/\u7b49\u9ad8\u7dda10m\u9593\u9694.fgb"}}</t>
  </si>
  <si>
    <t>{"PARAMETERS": {"2": "'E:/G\u7a7a\u9593\u60c5\u5831\u30bb\u30f3\u30bf\u30fc/32\u5cf6\u6839\u770c/101\u6c5f\u306e\u5ddd\u4e0b\u6d41\u68ee\u6797\u8a08\u753b\u533a/\u7b2c3\u7cfb/\u5883\u754c.shp'", "crsjgd2000": "QgsCoordinateReferenceSystem('EPSG:2445')"}, "OUTPUTS": {"": "E:/G\u7a7a\u9593\u60c5\u5831\u30bb\u30f3\u30bf\u30fc/32\u5cf6\u6839\u770c/101\u6c5f\u306e\u5ddd\u4e0b\u6d41\u68ee\u6797\u8a08\u753b\u533aTKY2JGD/\u7b2c3\u7cfb/\u5883\u754c.fgb"}}</t>
  </si>
  <si>
    <t>{"PARAMETERS": {"2": "'E:/G\u7a7a\u9593\u60c5\u5831\u30bb\u30f3\u30bf\u30fc/32\u5cf6\u6839\u770c/101\u6c5f\u306e\u5ddd\u4e0b\u6d41\u68ee\u6797\u8a08\u753b\u533a/\u7b2c3\u7cfb/\u6797\u73ed\u754c.shp'", "crsjgd2000": "QgsCoordinateReferenceSystem('EPSG:2445')"}, "OUTPUTS": {"": "E:/G\u7a7a\u9593\u60c5\u5831\u30bb\u30f3\u30bf\u30fc/32\u5cf6\u6839\u770c/101\u6c5f\u306e\u5ddd\u4e0b\u6d41\u68ee\u6797\u8a08\u753b\u533aTKY2JGD/\u7b2c3\u7cfb/\u6797\u73ed\u754c.fgb"}}</t>
  </si>
  <si>
    <t>{"PARAMETERS": {"2": "'E:/G\u7a7a\u9593\u60c5\u5831\u30bb\u30f3\u30bf\u30fc/32\u5cf6\u6839\u770c/101\u6c5f\u306e\u5ddd\u4e0b\u6d41\u68ee\u6797\u8a08\u753b\u533a/\u7b2c3\u7cfb/\u6797\u73ed\u533a\u753b.shp'", "crsjgd2000": "QgsCoordinateReferenceSystem('EPSG:2445')"}, "OUTPUTS": {"": "E:/G\u7a7a\u9593\u60c5\u5831\u30bb\u30f3\u30bf\u30fc/32\u5cf6\u6839\u770c/101\u6c5f\u306e\u5ddd\u4e0b\u6d41\u68ee\u6797\u8a08\u753b\u533aTKY2JGD/\u7b2c3\u7cfb/\u6797\u73ed\u533a\u753b.fgb"}}</t>
  </si>
  <si>
    <t>{"PARAMETERS": {"2": "'E:/G\u7a7a\u9593\u60c5\u5831\u30bb\u30f3\u30bf\u30fc/32\u5cf6\u6839\u770c/101\u6c5f\u306e\u5ddd\u4e0b\u6d41\u68ee\u6797\u8a08\u753b\u533a/\u7b2c3\u7cfb/\u5c0f\u73ed\u754c.shp'", "crsjgd2000": "QgsCoordinateReferenceSystem('EPSG:2445')"}, "OUTPUTS": {"": "E:/G\u7a7a\u9593\u60c5\u5831\u30bb\u30f3\u30bf\u30fc/32\u5cf6\u6839\u770c/101\u6c5f\u306e\u5ddd\u4e0b\u6d41\u68ee\u6797\u8a08\u753b\u533aTKY2JGD/\u7b2c3\u7cfb/\u5c0f\u73ed\u754c.fgb"}}</t>
  </si>
  <si>
    <t>{"PARAMETERS": {"2": "'E:/G\u7a7a\u9593\u60c5\u5831\u30bb\u30f3\u30bf\u30fc/32\u5cf6\u6839\u770c/101\u6c5f\u306e\u5ddd\u4e0b\u6d41\u68ee\u6797\u8a08\u753b\u533a/\u7b2c3\u7cfb/\u5c0f\u73ed\u533a\u753b.shp'", "crsjgd2000": "QgsCoordinateReferenceSystem('EPSG:2445')"}, "OUTPUTS": {"": "E:/G\u7a7a\u9593\u60c5\u5831\u30bb\u30f3\u30bf\u30fc/32\u5cf6\u6839\u770c/101\u6c5f\u306e\u5ddd\u4e0b\u6d41\u68ee\u6797\u8a08\u753b\u533aTKY2JGD/\u7b2c3\u7cfb/\u5c0f\u73ed\u533a\u753b.fgb"}}</t>
  </si>
  <si>
    <t>{"PARAMETERS": {"2": "'E:/G\u7a7a\u9593\u60c5\u5831\u30bb\u30f3\u30bf\u30fc/32\u5cf6\u6839\u770c/101\u6c5f\u306e\u5ddd\u4e0b\u6d41\u68ee\u6797\u8a08\u753b\u533a/\u7b2c3\u7cfb/\u6797\u9053.shp'", "crsjgd2000": "QgsCoordinateReferenceSystem('EPSG:2445')"}, "OUTPUTS": {"": "E:/G\u7a7a\u9593\u60c5\u5831\u30bb\u30f3\u30bf\u30fc/32\u5cf6\u6839\u770c/101\u6c5f\u306e\u5ddd\u4e0b\u6d41\u68ee\u6797\u8a08\u753b\u533aTKY2JGD/\u7b2c3\u7cfb/\u6797\u9053.fgb"}}</t>
  </si>
  <si>
    <t>{"PARAMETERS": {"2": "'E:/G\u7a7a\u9593\u60c5\u5831\u30bb\u30f3\u30bf\u30fc/32\u5cf6\u6839\u770c/101\u6c5f\u306e\u5ddd\u4e0b\u6d41\u68ee\u6797\u8a08\u753b\u533a/\u7b2c3\u7cfb/\u4f5c\u696d\u9053.shp'", "crsjgd2000": "QgsCoordinateReferenceSystem('EPSG:2445')"}, "OUTPUTS": {"": "E:/G\u7a7a\u9593\u60c5\u5831\u30bb\u30f3\u30bf\u30fc/32\u5cf6\u6839\u770c/101\u6c5f\u306e\u5ddd\u4e0b\u6d41\u68ee\u6797\u8a08\u753b\u533aTKY2JGD/\u7b2c3\u7cfb/\u4f5c\u696d\u9053.fgb"}}</t>
  </si>
  <si>
    <t>{"PARAMETERS": {"2": "'E:/G\u7a7a\u9593\u60c5\u5831\u30bb\u30f3\u30bf\u30fc/32\u5cf6\u6839\u770c/101\u6c5f\u306e\u5ddd\u4e0b\u6d41\u68ee\u6797\u8a08\u753b\u533a/\u7b2c3\u7cfb/\u7b49\u9ad8\u7dda10m\u9593\u9694.shp'", "crsjgd2000": "QgsCoordinateReferenceSystem('EPSG:2445')"}, "OUTPUTS": {"": "E:/G\u7a7a\u9593\u60c5\u5831\u30bb\u30f3\u30bf\u30fc/32\u5cf6\u6839\u770c/101\u6c5f\u306e\u5ddd\u4e0b\u6d41\u68ee\u6797\u8a08\u753b\u533aTKY2JGD/\u7b2c3\u7cfb/\u7b49\u9ad8\u7dda10m\u9593\u9694.fgb"}}</t>
  </si>
  <si>
    <t>{"PARAMETERS": {"2": "'E:/G\u7a7a\u9593\u60c5\u5831\u30bb\u30f3\u30bf\u30fc/32\u5cf6\u6839\u770c/102\u6590\u4f0a\u5ddd\u68ee\u6797\u8a08\u753b\u533a/\u7b2c3\u7cfb/\u5883\u754c.shp'", "crsjgd2000": "QgsCoordinateReferenceSystem('EPSG:2445')"}, "OUTPUTS": {"": "E:/G\u7a7a\u9593\u60c5\u5831\u30bb\u30f3\u30bf\u30fc/32\u5cf6\u6839\u770c/102\u6590\u4f0a\u5ddd\u68ee\u6797\u8a08\u753b\u533aTKY2JGD/\u7b2c3\u7cfb/\u5883\u754c.fgb"}}</t>
  </si>
  <si>
    <t>{"PARAMETERS": {"2": "'E:/G\u7a7a\u9593\u60c5\u5831\u30bb\u30f3\u30bf\u30fc/32\u5cf6\u6839\u770c/102\u6590\u4f0a\u5ddd\u68ee\u6797\u8a08\u753b\u533a/\u7b2c3\u7cfb/\u6797\u73ed\u754c.shp'", "crsjgd2000": "QgsCoordinateReferenceSystem('EPSG:2445')"}, "OUTPUTS": {"": "E:/G\u7a7a\u9593\u60c5\u5831\u30bb\u30f3\u30bf\u30fc/32\u5cf6\u6839\u770c/102\u6590\u4f0a\u5ddd\u68ee\u6797\u8a08\u753b\u533aTKY2JGD/\u7b2c3\u7cfb/\u6797\u73ed\u754c.fgb"}}</t>
  </si>
  <si>
    <t>{"PARAMETERS": {"2": "'E:/G\u7a7a\u9593\u60c5\u5831\u30bb\u30f3\u30bf\u30fc/32\u5cf6\u6839\u770c/102\u6590\u4f0a\u5ddd\u68ee\u6797\u8a08\u753b\u533a/\u7b2c3\u7cfb/\u6797\u73ed\u533a\u753b.shp'", "crsjgd2000": "QgsCoordinateReferenceSystem('EPSG:2445')"}, "OUTPUTS": {"": "E:/G\u7a7a\u9593\u60c5\u5831\u30bb\u30f3\u30bf\u30fc/32\u5cf6\u6839\u770c/102\u6590\u4f0a\u5ddd\u68ee\u6797\u8a08\u753b\u533aTKY2JGD/\u7b2c3\u7cfb/\u6797\u73ed\u533a\u753b.fgb"}}</t>
  </si>
  <si>
    <t>{"PARAMETERS": {"2": "'E:/G\u7a7a\u9593\u60c5\u5831\u30bb\u30f3\u30bf\u30fc/32\u5cf6\u6839\u770c/102\u6590\u4f0a\u5ddd\u68ee\u6797\u8a08\u753b\u533a/\u7b2c3\u7cfb/\u5c0f\u73ed\u754c.shp'", "crsjgd2000": "QgsCoordinateReferenceSystem('EPSG:2445')"}, "OUTPUTS": {"": "E:/G\u7a7a\u9593\u60c5\u5831\u30bb\u30f3\u30bf\u30fc/32\u5cf6\u6839\u770c/102\u6590\u4f0a\u5ddd\u68ee\u6797\u8a08\u753b\u533aTKY2JGD/\u7b2c3\u7cfb/\u5c0f\u73ed\u754c.fgb"}}</t>
  </si>
  <si>
    <t>{"PARAMETERS": {"2": "'E:/G\u7a7a\u9593\u60c5\u5831\u30bb\u30f3\u30bf\u30fc/32\u5cf6\u6839\u770c/102\u6590\u4f0a\u5ddd\u68ee\u6797\u8a08\u753b\u533a/\u7b2c3\u7cfb/\u5c0f\u73ed\u533a\u753b.shp'", "crsjgd2000": "QgsCoordinateReferenceSystem('EPSG:2445')"}, "OUTPUTS": {"": "E:/G\u7a7a\u9593\u60c5\u5831\u30bb\u30f3\u30bf\u30fc/32\u5cf6\u6839\u770c/102\u6590\u4f0a\u5ddd\u68ee\u6797\u8a08\u753b\u533aTKY2JGD/\u7b2c3\u7cfb/\u5c0f\u73ed\u533a\u753b.fgb"}}</t>
  </si>
  <si>
    <t>{"PARAMETERS": {"2": "'E:/G\u7a7a\u9593\u60c5\u5831\u30bb\u30f3\u30bf\u30fc/32\u5cf6\u6839\u770c/102\u6590\u4f0a\u5ddd\u68ee\u6797\u8a08\u753b\u533a/\u7b2c3\u7cfb/\u6797\u9053.shp'", "crsjgd2000": "QgsCoordinateReferenceSystem('EPSG:2445')"}, "OUTPUTS": {"": "E:/G\u7a7a\u9593\u60c5\u5831\u30bb\u30f3\u30bf\u30fc/32\u5cf6\u6839\u770c/102\u6590\u4f0a\u5ddd\u68ee\u6797\u8a08\u753b\u533aTKY2JGD/\u7b2c3\u7cfb/\u6797\u9053.fgb"}}</t>
  </si>
  <si>
    <t>{"PARAMETERS": {"2": "'E:/G\u7a7a\u9593\u60c5\u5831\u30bb\u30f3\u30bf\u30fc/32\u5cf6\u6839\u770c/102\u6590\u4f0a\u5ddd\u68ee\u6797\u8a08\u753b\u533a/\u7b2c3\u7cfb/\u4f5c\u696d\u9053.shp'", "crsjgd2000": "QgsCoordinateReferenceSystem('EPSG:2445')"}, "OUTPUTS": {"": "E:/G\u7a7a\u9593\u60c5\u5831\u30bb\u30f3\u30bf\u30fc/32\u5cf6\u6839\u770c/102\u6590\u4f0a\u5ddd\u68ee\u6797\u8a08\u753b\u533aTKY2JGD/\u7b2c3\u7cfb/\u4f5c\u696d\u9053.fgb"}}</t>
  </si>
  <si>
    <t>{"PARAMETERS": {"2": "'E:/G\u7a7a\u9593\u60c5\u5831\u30bb\u30f3\u30bf\u30fc/32\u5cf6\u6839\u770c/102\u6590\u4f0a\u5ddd\u68ee\u6797\u8a08\u753b\u533a/\u7b2c3\u7cfb/\u7b49\u9ad8\u7dda10m\u9593\u9694.shp'", "crsjgd2000": "QgsCoordinateReferenceSystem('EPSG:2445')"}, "OUTPUTS": {"": "E:/G\u7a7a\u9593\u60c5\u5831\u30bb\u30f3\u30bf\u30fc/32\u5cf6\u6839\u770c/102\u6590\u4f0a\u5ddd\u68ee\u6797\u8a08\u753b\u533aTKY2JGD/\u7b2c3\u7cfb/\u7b49\u9ad8\u7dda10m\u9593\u9694.fgb"}}</t>
  </si>
  <si>
    <t>{"PARAMETERS": {"2": "'E:/G\u7a7a\u9593\u60c5\u5831\u30bb\u30f3\u30bf\u30fc/32\u5cf6\u6839\u770c/103\u96a0\u5c90\u68ee\u6797\u8a08\u753b\u533a/\u7b2c3\u7cfb/\u5883\u754c.shp'", "crsjgd2000": "QgsCoordinateReferenceSystem('EPSG:2445')"}, "OUTPUTS": {"": "E:/G\u7a7a\u9593\u60c5\u5831\u30bb\u30f3\u30bf\u30fc/32\u5cf6\u6839\u770c/103\u96a0\u5c90\u68ee\u6797\u8a08\u753b\u533aTKY2JGD/\u7b2c3\u7cfb/\u5883\u754c.fgb"}}</t>
  </si>
  <si>
    <t>{"PARAMETERS": {"2": "'E:/G\u7a7a\u9593\u60c5\u5831\u30bb\u30f3\u30bf\u30fc/32\u5cf6\u6839\u770c/103\u96a0\u5c90\u68ee\u6797\u8a08\u753b\u533a/\u7b2c3\u7cfb/\u6797\u73ed\u754c.shp'", "crsjgd2000": "QgsCoordinateReferenceSystem('EPSG:2445')"}, "OUTPUTS": {"": "E:/G\u7a7a\u9593\u60c5\u5831\u30bb\u30f3\u30bf\u30fc/32\u5cf6\u6839\u770c/103\u96a0\u5c90\u68ee\u6797\u8a08\u753b\u533aTKY2JGD/\u7b2c3\u7cfb/\u6797\u73ed\u754c.fgb"}}</t>
  </si>
  <si>
    <t>{"PARAMETERS": {"2": "'E:/G\u7a7a\u9593\u60c5\u5831\u30bb\u30f3\u30bf\u30fc/32\u5cf6\u6839\u770c/103\u96a0\u5c90\u68ee\u6797\u8a08\u753b\u533a/\u7b2c3\u7cfb/\u6797\u73ed\u533a\u753b.shp'", "crsjgd2000": "QgsCoordinateReferenceSystem('EPSG:2445')"}, "OUTPUTS": {"": "E:/G\u7a7a\u9593\u60c5\u5831\u30bb\u30f3\u30bf\u30fc/32\u5cf6\u6839\u770c/103\u96a0\u5c90\u68ee\u6797\u8a08\u753b\u533aTKY2JGD/\u7b2c3\u7cfb/\u6797\u73ed\u533a\u753b.fgb"}}</t>
  </si>
  <si>
    <t>{"PARAMETERS": {"2": "'E:/G\u7a7a\u9593\u60c5\u5831\u30bb\u30f3\u30bf\u30fc/32\u5cf6\u6839\u770c/103\u96a0\u5c90\u68ee\u6797\u8a08\u753b\u533a/\u7b2c3\u7cfb/\u5c0f\u73ed\u754c.shp'", "crsjgd2000": "QgsCoordinateReferenceSystem('EPSG:2445')"}, "OUTPUTS": {"": "E:/G\u7a7a\u9593\u60c5\u5831\u30bb\u30f3\u30bf\u30fc/32\u5cf6\u6839\u770c/103\u96a0\u5c90\u68ee\u6797\u8a08\u753b\u533aTKY2JGD/\u7b2c3\u7cfb/\u5c0f\u73ed\u754c.fgb"}}</t>
  </si>
  <si>
    <t>{"PARAMETERS": {"2": "'E:/G\u7a7a\u9593\u60c5\u5831\u30bb\u30f3\u30bf\u30fc/32\u5cf6\u6839\u770c/103\u96a0\u5c90\u68ee\u6797\u8a08\u753b\u533a/\u7b2c3\u7cfb/\u5c0f\u73ed\u533a\u753b.shp'", "crsjgd2000": "QgsCoordinateReferenceSystem('EPSG:2445')"}, "OUTPUTS": {"": "E:/G\u7a7a\u9593\u60c5\u5831\u30bb\u30f3\u30bf\u30fc/32\u5cf6\u6839\u770c/103\u96a0\u5c90\u68ee\u6797\u8a08\u753b\u533aTKY2JGD/\u7b2c3\u7cfb/\u5c0f\u73ed\u533a\u753b.fgb"}}</t>
  </si>
  <si>
    <t>{"PARAMETERS": {"2": "'E:/G\u7a7a\u9593\u60c5\u5831\u30bb\u30f3\u30bf\u30fc/32\u5cf6\u6839\u770c/103\u96a0\u5c90\u68ee\u6797\u8a08\u753b\u533a/\u7b2c3\u7cfb/\u6797\u9053.shp'", "crsjgd2000": "QgsCoordinateReferenceSystem('EPSG:2445')"}, "OUTPUTS": {"": "E:/G\u7a7a\u9593\u60c5\u5831\u30bb\u30f3\u30bf\u30fc/32\u5cf6\u6839\u770c/103\u96a0\u5c90\u68ee\u6797\u8a08\u753b\u533aTKY2JGD/\u7b2c3\u7cfb/\u6797\u9053.fgb"}}</t>
  </si>
  <si>
    <t>{"PARAMETERS": {"2": "'E:/G\u7a7a\u9593\u60c5\u5831\u30bb\u30f3\u30bf\u30fc/32\u5cf6\u6839\u770c/103\u96a0\u5c90\u68ee\u6797\u8a08\u753b\u533a/\u7b2c3\u7cfb/\u4f5c\u696d\u9053.shp'", "crsjgd2000": "QgsCoordinateReferenceSystem('EPSG:2445')"}, "OUTPUTS": {"": "E:/G\u7a7a\u9593\u60c5\u5831\u30bb\u30f3\u30bf\u30fc/32\u5cf6\u6839\u770c/103\u96a0\u5c90\u68ee\u6797\u8a08\u753b\u533aTKY2JGD/\u7b2c3\u7cfb/\u4f5c\u696d\u9053.fgb"}}</t>
  </si>
  <si>
    <t>{"PARAMETERS": {"2": "'E:/G\u7a7a\u9593\u60c5\u5831\u30bb\u30f3\u30bf\u30fc/32\u5cf6\u6839\u770c/103\u96a0\u5c90\u68ee\u6797\u8a08\u753b\u533a/\u7b2c3\u7cfb/\u7b49\u9ad8\u7dda10m\u9593\u9694.shp'", "crsjgd2000": "QgsCoordinateReferenceSystem('EPSG:2445')"}, "OUTPUTS": {"": "E:/G\u7a7a\u9593\u60c5\u5831\u30bb\u30f3\u30bf\u30fc/32\u5cf6\u6839\u770c/103\u96a0\u5c90\u68ee\u6797\u8a08\u753b\u533aTKY2JGD/\u7b2c3\u7cfb/\u7b49\u9ad8\u7dda10m\u9593\u9694.fgb"}}</t>
  </si>
  <si>
    <t>{"PARAMETERS": {"2": "'E:/G\u7a7a\u9593\u60c5\u5831\u30bb\u30f3\u30bf\u30fc/32\u5cf6\u6839\u770c/104\u9ad8\u6d25\u5ddd\u68ee\u6797\u8a08\u753b\u533a/\u7b2c3\u7cfb/\u5883\u754c.shp'", "crsjgd2000": "QgsCoordinateReferenceSystem('EPSG:2445')"}, "OUTPUTS": {"": "E:/G\u7a7a\u9593\u60c5\u5831\u30bb\u30f3\u30bf\u30fc/32\u5cf6\u6839\u770c/104\u9ad8\u6d25\u5ddd\u68ee\u6797\u8a08\u753b\u533aTKY2JGD/\u7b2c3\u7cfb/\u5883\u754c.fgb"}}</t>
  </si>
  <si>
    <t>{"PARAMETERS": {"2": "'E:/G\u7a7a\u9593\u60c5\u5831\u30bb\u30f3\u30bf\u30fc/32\u5cf6\u6839\u770c/104\u9ad8\u6d25\u5ddd\u68ee\u6797\u8a08\u753b\u533a/\u7b2c3\u7cfb/\u6797\u73ed\u754c.shp'", "crsjgd2000": "QgsCoordinateReferenceSystem('EPSG:2445')"}, "OUTPUTS": {"": "E:/G\u7a7a\u9593\u60c5\u5831\u30bb\u30f3\u30bf\u30fc/32\u5cf6\u6839\u770c/104\u9ad8\u6d25\u5ddd\u68ee\u6797\u8a08\u753b\u533aTKY2JGD/\u7b2c3\u7cfb/\u6797\u73ed\u754c.fgb"}}</t>
  </si>
  <si>
    <t>{"PARAMETERS": {"2": "'E:/G\u7a7a\u9593\u60c5\u5831\u30bb\u30f3\u30bf\u30fc/32\u5cf6\u6839\u770c/104\u9ad8\u6d25\u5ddd\u68ee\u6797\u8a08\u753b\u533a/\u7b2c3\u7cfb/\u6797\u73ed\u533a\u753b.shp'", "crsjgd2000": "QgsCoordinateReferenceSystem('EPSG:2445')"}, "OUTPUTS": {"": "E:/G\u7a7a\u9593\u60c5\u5831\u30bb\u30f3\u30bf\u30fc/32\u5cf6\u6839\u770c/104\u9ad8\u6d25\u5ddd\u68ee\u6797\u8a08\u753b\u533aTKY2JGD/\u7b2c3\u7cfb/\u6797\u73ed\u533a\u753b.fgb"}}</t>
  </si>
  <si>
    <t>{"PARAMETERS": {"2": "'E:/G\u7a7a\u9593\u60c5\u5831\u30bb\u30f3\u30bf\u30fc/32\u5cf6\u6839\u770c/104\u9ad8\u6d25\u5ddd\u68ee\u6797\u8a08\u753b\u533a/\u7b2c3\u7cfb/\u5c0f\u73ed\u754c.shp'", "crsjgd2000": "QgsCoordinateReferenceSystem('EPSG:2445')"}, "OUTPUTS": {"": "E:/G\u7a7a\u9593\u60c5\u5831\u30bb\u30f3\u30bf\u30fc/32\u5cf6\u6839\u770c/104\u9ad8\u6d25\u5ddd\u68ee\u6797\u8a08\u753b\u533aTKY2JGD/\u7b2c3\u7cfb/\u5c0f\u73ed\u754c.fgb"}}</t>
  </si>
  <si>
    <t>{"PARAMETERS": {"2": "'E:/G\u7a7a\u9593\u60c5\u5831\u30bb\u30f3\u30bf\u30fc/32\u5cf6\u6839\u770c/104\u9ad8\u6d25\u5ddd\u68ee\u6797\u8a08\u753b\u533a/\u7b2c3\u7cfb/\u5c0f\u73ed\u533a\u753b.shp'", "crsjgd2000": "QgsCoordinateReferenceSystem('EPSG:2445')"}, "OUTPUTS": {"": "E:/G\u7a7a\u9593\u60c5\u5831\u30bb\u30f3\u30bf\u30fc/32\u5cf6\u6839\u770c/104\u9ad8\u6d25\u5ddd\u68ee\u6797\u8a08\u753b\u533aTKY2JGD/\u7b2c3\u7cfb/\u5c0f\u73ed\u533a\u753b.fgb"}}</t>
  </si>
  <si>
    <t>{"PARAMETERS": {"2": "'E:/G\u7a7a\u9593\u60c5\u5831\u30bb\u30f3\u30bf\u30fc/32\u5cf6\u6839\u770c/104\u9ad8\u6d25\u5ddd\u68ee\u6797\u8a08\u753b\u533a/\u7b2c3\u7cfb/\u6797\u9053.shp'", "crsjgd2000": "QgsCoordinateReferenceSystem('EPSG:2445')"}, "OUTPUTS": {"": "E:/G\u7a7a\u9593\u60c5\u5831\u30bb\u30f3\u30bf\u30fc/32\u5cf6\u6839\u770c/104\u9ad8\u6d25\u5ddd\u68ee\u6797\u8a08\u753b\u533aTKY2JGD/\u7b2c3\u7cfb/\u6797\u9053.fgb"}}</t>
  </si>
  <si>
    <t>{"PARAMETERS": {"2": "'E:/G\u7a7a\u9593\u60c5\u5831\u30bb\u30f3\u30bf\u30fc/32\u5cf6\u6839\u770c/104\u9ad8\u6d25\u5ddd\u68ee\u6797\u8a08\u753b\u533a/\u7b2c3\u7cfb/\u4f5c\u696d\u9053.shp'", "crsjgd2000": "QgsCoordinateReferenceSystem('EPSG:2445')"}, "OUTPUTS": {"": "E:/G\u7a7a\u9593\u60c5\u5831\u30bb\u30f3\u30bf\u30fc/32\u5cf6\u6839\u770c/104\u9ad8\u6d25\u5ddd\u68ee\u6797\u8a08\u753b\u533aTKY2JGD/\u7b2c3\u7cfb/\u4f5c\u696d\u9053.fgb"}}</t>
  </si>
  <si>
    <t>{"PARAMETERS": {"2": "'E:/G\u7a7a\u9593\u60c5\u5831\u30bb\u30f3\u30bf\u30fc/32\u5cf6\u6839\u770c/104\u9ad8\u6d25\u5ddd\u68ee\u6797\u8a08\u753b\u533a/\u7b2c3\u7cfb/\u7b49\u9ad8\u7dda10m\u9593\u9694.shp'", "crsjgd2000": "QgsCoordinateReferenceSystem('EPSG:2445')"}, "OUTPUTS": {"": "E:/G\u7a7a\u9593\u60c5\u5831\u30bb\u30f3\u30bf\u30fc/32\u5cf6\u6839\u770c/104\u9ad8\u6d25\u5ddd\u68ee\u6797\u8a08\u753b\u533aTKY2JGD/\u7b2c3\u7cfb/\u7b49\u9ad8\u7dda10m\u9593\u9694.fgb"}}</t>
  </si>
  <si>
    <t>{"PARAMETERS": {"2": "'E:/G\u7a7a\u9593\u60c5\u5831\u30bb\u30f3\u30bf\u30fc/33\u5ca1\u5c71\u770c/105\u9ad8\u6881\u5ddd\u4e0b\u6d41\u68ee\u6797\u8a08\u753b\u533a/\u7b2c5\u7cfb/\u5883\u754c.shp'", "crsjgd2000": "QgsCoordinateReferenceSystem('EPSG:2447')"}, "OUTPUTS": {"": "E:/G\u7a7a\u9593\u60c5\u5831\u30bb\u30f3\u30bf\u30fc/33\u5ca1\u5c71\u770c/105\u9ad8\u6881\u5ddd\u4e0b\u6d41\u68ee\u6797\u8a08\u753b\u533aTKY2JGD/\u7b2c5\u7cfb/\u5883\u754c.fgb"}}</t>
  </si>
  <si>
    <t>{"PARAMETERS": {"2": "'E:/G\u7a7a\u9593\u60c5\u5831\u30bb\u30f3\u30bf\u30fc/33\u5ca1\u5c71\u770c/105\u9ad8\u6881\u5ddd\u4e0b\u6d41\u68ee\u6797\u8a08\u753b\u533a/\u7b2c5\u7cfb/\u6797\u73ed\u754c.shp'", "crsjgd2000": "QgsCoordinateReferenceSystem('EPSG:2447')"}, "OUTPUTS": {"": "E:/G\u7a7a\u9593\u60c5\u5831\u30bb\u30f3\u30bf\u30fc/33\u5ca1\u5c71\u770c/105\u9ad8\u6881\u5ddd\u4e0b\u6d41\u68ee\u6797\u8a08\u753b\u533aTKY2JGD/\u7b2c5\u7cfb/\u6797\u73ed\u754c.fgb"}}</t>
  </si>
  <si>
    <t>{"PARAMETERS": {"2": "'E:/G\u7a7a\u9593\u60c5\u5831\u30bb\u30f3\u30bf\u30fc/33\u5ca1\u5c71\u770c/105\u9ad8\u6881\u5ddd\u4e0b\u6d41\u68ee\u6797\u8a08\u753b\u533a/\u7b2c5\u7cfb/\u6797\u73ed\u533a\u753b.shp'", "crsjgd2000": "QgsCoordinateReferenceSystem('EPSG:2447')"}, "OUTPUTS": {"": "E:/G\u7a7a\u9593\u60c5\u5831\u30bb\u30f3\u30bf\u30fc/33\u5ca1\u5c71\u770c/105\u9ad8\u6881\u5ddd\u4e0b\u6d41\u68ee\u6797\u8a08\u753b\u533aTKY2JGD/\u7b2c5\u7cfb/\u6797\u73ed\u533a\u753b.fgb"}}</t>
  </si>
  <si>
    <t>{"PARAMETERS": {"2": "'E:/G\u7a7a\u9593\u60c5\u5831\u30bb\u30f3\u30bf\u30fc/33\u5ca1\u5c71\u770c/105\u9ad8\u6881\u5ddd\u4e0b\u6d41\u68ee\u6797\u8a08\u753b\u533a/\u7b2c5\u7cfb/\u5c0f\u73ed\u754c.shp'", "crsjgd2000": "QgsCoordinateReferenceSystem('EPSG:2447')"}, "OUTPUTS": {"": "E:/G\u7a7a\u9593\u60c5\u5831\u30bb\u30f3\u30bf\u30fc/33\u5ca1\u5c71\u770c/105\u9ad8\u6881\u5ddd\u4e0b\u6d41\u68ee\u6797\u8a08\u753b\u533aTKY2JGD/\u7b2c5\u7cfb/\u5c0f\u73ed\u754c.fgb"}}</t>
  </si>
  <si>
    <t>{"PARAMETERS": {"2": "'E:/G\u7a7a\u9593\u60c5\u5831\u30bb\u30f3\u30bf\u30fc/33\u5ca1\u5c71\u770c/105\u9ad8\u6881\u5ddd\u4e0b\u6d41\u68ee\u6797\u8a08\u753b\u533a/\u7b2c5\u7cfb/\u5c0f\u73ed\u533a\u753b.shp'", "crsjgd2000": "QgsCoordinateReferenceSystem('EPSG:2447')"}, "OUTPUTS": {"": "E:/G\u7a7a\u9593\u60c5\u5831\u30bb\u30f3\u30bf\u30fc/33\u5ca1\u5c71\u770c/105\u9ad8\u6881\u5ddd\u4e0b\u6d41\u68ee\u6797\u8a08\u753b\u533aTKY2JGD/\u7b2c5\u7cfb/\u5c0f\u73ed\u533a\u753b.fgb"}}</t>
  </si>
  <si>
    <t>{"PARAMETERS": {"2": "'E:/G\u7a7a\u9593\u60c5\u5831\u30bb\u30f3\u30bf\u30fc/33\u5ca1\u5c71\u770c/105\u9ad8\u6881\u5ddd\u4e0b\u6d41\u68ee\u6797\u8a08\u753b\u533a/\u7b2c5\u7cfb/\u6797\u9053.shp'", "crsjgd2000": "QgsCoordinateReferenceSystem('EPSG:2447')"}, "OUTPUTS": {"": "E:/G\u7a7a\u9593\u60c5\u5831\u30bb\u30f3\u30bf\u30fc/33\u5ca1\u5c71\u770c/105\u9ad8\u6881\u5ddd\u4e0b\u6d41\u68ee\u6797\u8a08\u753b\u533aTKY2JGD/\u7b2c5\u7cfb/\u6797\u9053.fgb"}}</t>
  </si>
  <si>
    <t>{"PARAMETERS": {"2": "'E:/G\u7a7a\u9593\u60c5\u5831\u30bb\u30f3\u30bf\u30fc/33\u5ca1\u5c71\u770c/105\u9ad8\u6881\u5ddd\u4e0b\u6d41\u68ee\u6797\u8a08\u753b\u533a/\u7b2c5\u7cfb/\u4f5c\u696d\u9053.shp'", "crsjgd2000": "QgsCoordinateReferenceSystem('EPSG:2447')"}, "OUTPUTS": {"": "E:/G\u7a7a\u9593\u60c5\u5831\u30bb\u30f3\u30bf\u30fc/33\u5ca1\u5c71\u770c/105\u9ad8\u6881\u5ddd\u4e0b\u6d41\u68ee\u6797\u8a08\u753b\u533aTKY2JGD/\u7b2c5\u7cfb/\u4f5c\u696d\u9053.fgb"}}</t>
  </si>
  <si>
    <t>{"PARAMETERS": {"2": "'E:/G\u7a7a\u9593\u60c5\u5831\u30bb\u30f3\u30bf\u30fc/33\u5ca1\u5c71\u770c/105\u9ad8\u6881\u5ddd\u4e0b\u6d41\u68ee\u6797\u8a08\u753b\u533a/\u7b2c5\u7cfb/\u7b49\u9ad8\u7dda10m\u9593\u9694.shp'", "crsjgd2000": "QgsCoordinateReferenceSystem('EPSG:2447')"}, "OUTPUTS": {"": "E:/G\u7a7a\u9593\u60c5\u5831\u30bb\u30f3\u30bf\u30fc/33\u5ca1\u5c71\u770c/105\u9ad8\u6881\u5ddd\u4e0b\u6d41\u68ee\u6797\u8a08\u753b\u533aTKY2JGD/\u7b2c5\u7cfb/\u7b49\u9ad8\u7dda10m\u9593\u9694.fgb"}}</t>
  </si>
  <si>
    <t>{"PARAMETERS": {"2": "'E:/G\u7a7a\u9593\u60c5\u5831\u30bb\u30f3\u30bf\u30fc/33\u5ca1\u5c71\u770c/106\u65ed\u5ddd\u68ee\u6797\u8a08\u753b\u533a/\u7b2c5\u7cfb/\u5883\u754c.shp'", "crsjgd2000": "QgsCoordinateReferenceSystem('EPSG:2447')"}, "OUTPUTS": {"": "E:/G\u7a7a\u9593\u60c5\u5831\u30bb\u30f3\u30bf\u30fc/33\u5ca1\u5c71\u770c/106\u65ed\u5ddd\u68ee\u6797\u8a08\u753b\u533aTKY2JGD/\u7b2c5\u7cfb/\u5883\u754c.fgb"}}</t>
  </si>
  <si>
    <t>{"PARAMETERS": {"2": "'E:/G\u7a7a\u9593\u60c5\u5831\u30bb\u30f3\u30bf\u30fc/33\u5ca1\u5c71\u770c/106\u65ed\u5ddd\u68ee\u6797\u8a08\u753b\u533a/\u7b2c5\u7cfb/\u6797\u73ed\u754c.shp'", "crsjgd2000": "QgsCoordinateReferenceSystem('EPSG:2447')"}, "OUTPUTS": {"": "E:/G\u7a7a\u9593\u60c5\u5831\u30bb\u30f3\u30bf\u30fc/33\u5ca1\u5c71\u770c/106\u65ed\u5ddd\u68ee\u6797\u8a08\u753b\u533aTKY2JGD/\u7b2c5\u7cfb/\u6797\u73ed\u754c.fgb"}}</t>
  </si>
  <si>
    <t>{"PARAMETERS": {"2": "'E:/G\u7a7a\u9593\u60c5\u5831\u30bb\u30f3\u30bf\u30fc/33\u5ca1\u5c71\u770c/106\u65ed\u5ddd\u68ee\u6797\u8a08\u753b\u533a/\u7b2c5\u7cfb/\u6797\u73ed\u533a\u753b.shp'", "crsjgd2000": "QgsCoordinateReferenceSystem('EPSG:2447')"}, "OUTPUTS": {"": "E:/G\u7a7a\u9593\u60c5\u5831\u30bb\u30f3\u30bf\u30fc/33\u5ca1\u5c71\u770c/106\u65ed\u5ddd\u68ee\u6797\u8a08\u753b\u533aTKY2JGD/\u7b2c5\u7cfb/\u6797\u73ed\u533a\u753b.fgb"}}</t>
  </si>
  <si>
    <t>{"PARAMETERS": {"2": "'E:/G\u7a7a\u9593\u60c5\u5831\u30bb\u30f3\u30bf\u30fc/33\u5ca1\u5c71\u770c/106\u65ed\u5ddd\u68ee\u6797\u8a08\u753b\u533a/\u7b2c5\u7cfb/\u5c0f\u73ed\u754c.shp'", "crsjgd2000": "QgsCoordinateReferenceSystem('EPSG:2447')"}, "OUTPUTS": {"": "E:/G\u7a7a\u9593\u60c5\u5831\u30bb\u30f3\u30bf\u30fc/33\u5ca1\u5c71\u770c/106\u65ed\u5ddd\u68ee\u6797\u8a08\u753b\u533aTKY2JGD/\u7b2c5\u7cfb/\u5c0f\u73ed\u754c.fgb"}}</t>
  </si>
  <si>
    <t>{"PARAMETERS": {"2": "'E:/G\u7a7a\u9593\u60c5\u5831\u30bb\u30f3\u30bf\u30fc/33\u5ca1\u5c71\u770c/106\u65ed\u5ddd\u68ee\u6797\u8a08\u753b\u533a/\u7b2c5\u7cfb/\u5c0f\u73ed\u533a\u753b.shp'", "crsjgd2000": "QgsCoordinateReferenceSystem('EPSG:2447')"}, "OUTPUTS": {"": "E:/G\u7a7a\u9593\u60c5\u5831\u30bb\u30f3\u30bf\u30fc/33\u5ca1\u5c71\u770c/106\u65ed\u5ddd\u68ee\u6797\u8a08\u753b\u533aTKY2JGD/\u7b2c5\u7cfb/\u5c0f\u73ed\u533a\u753b.fgb"}}</t>
  </si>
  <si>
    <t>{"PARAMETERS": {"2": "'E:/G\u7a7a\u9593\u60c5\u5831\u30bb\u30f3\u30bf\u30fc/33\u5ca1\u5c71\u770c/106\u65ed\u5ddd\u68ee\u6797\u8a08\u753b\u533a/\u7b2c5\u7cfb/\u6797\u9053.shp'", "crsjgd2000": "QgsCoordinateReferenceSystem('EPSG:2447')"}, "OUTPUTS": {"": "E:/G\u7a7a\u9593\u60c5\u5831\u30bb\u30f3\u30bf\u30fc/33\u5ca1\u5c71\u770c/106\u65ed\u5ddd\u68ee\u6797\u8a08\u753b\u533aTKY2JGD/\u7b2c5\u7cfb/\u6797\u9053.fgb"}}</t>
  </si>
  <si>
    <t>{"PARAMETERS": {"2": "'E:/G\u7a7a\u9593\u60c5\u5831\u30bb\u30f3\u30bf\u30fc/33\u5ca1\u5c71\u770c/106\u65ed\u5ddd\u68ee\u6797\u8a08\u753b\u533a/\u7b2c5\u7cfb/\u4f5c\u696d\u9053.shp'", "crsjgd2000": "QgsCoordinateReferenceSystem('EPSG:2447')"}, "OUTPUTS": {"": "E:/G\u7a7a\u9593\u60c5\u5831\u30bb\u30f3\u30bf\u30fc/33\u5ca1\u5c71\u770c/106\u65ed\u5ddd\u68ee\u6797\u8a08\u753b\u533aTKY2JGD/\u7b2c5\u7cfb/\u4f5c\u696d\u9053.fgb"}}</t>
  </si>
  <si>
    <t>{"PARAMETERS": {"2": "'E:/G\u7a7a\u9593\u60c5\u5831\u30bb\u30f3\u30bf\u30fc/33\u5ca1\u5c71\u770c/106\u65ed\u5ddd\u68ee\u6797\u8a08\u753b\u533a/\u7b2c5\u7cfb/\u7b49\u9ad8\u7dda10m\u9593\u9694.shp'", "crsjgd2000": "QgsCoordinateReferenceSystem('EPSG:2447')"}, "OUTPUTS": {"": "E:/G\u7a7a\u9593\u60c5\u5831\u30bb\u30f3\u30bf\u30fc/33\u5ca1\u5c71\u770c/106\u65ed\u5ddd\u68ee\u6797\u8a08\u753b\u533aTKY2JGD/\u7b2c5\u7cfb/\u7b49\u9ad8\u7dda10m\u9593\u9694.fgb"}}</t>
  </si>
  <si>
    <t>{"PARAMETERS": {"2": "'E:/G\u7a7a\u9593\u60c5\u5831\u30bb\u30f3\u30bf\u30fc/33\u5ca1\u5c71\u770c/107\u5409\u4e95\u5ddd\u68ee\u6797\u8a08\u753b\u533a/\u7b2c5\u7cfb/\u5883\u754c.shp'", "crsjgd2000": "QgsCoordinateReferenceSystem('EPSG:2447')"}, "OUTPUTS": {"": "E:/G\u7a7a\u9593\u60c5\u5831\u30bb\u30f3\u30bf\u30fc/33\u5ca1\u5c71\u770c/107\u5409\u4e95\u5ddd\u68ee\u6797\u8a08\u753b\u533aTKY2JGD/\u7b2c5\u7cfb/\u5883\u754c.fgb"}}</t>
  </si>
  <si>
    <t>{"PARAMETERS": {"2": "'E:/G\u7a7a\u9593\u60c5\u5831\u30bb\u30f3\u30bf\u30fc/33\u5ca1\u5c71\u770c/107\u5409\u4e95\u5ddd\u68ee\u6797\u8a08\u753b\u533a/\u7b2c5\u7cfb/\u6797\u73ed\u754c.shp'", "crsjgd2000": "QgsCoordinateReferenceSystem('EPSG:2447')"}, "OUTPUTS": {"": "E:/G\u7a7a\u9593\u60c5\u5831\u30bb\u30f3\u30bf\u30fc/33\u5ca1\u5c71\u770c/107\u5409\u4e95\u5ddd\u68ee\u6797\u8a08\u753b\u533aTKY2JGD/\u7b2c5\u7cfb/\u6797\u73ed\u754c.fgb"}}</t>
  </si>
  <si>
    <t>{"PARAMETERS": {"2": "'E:/G\u7a7a\u9593\u60c5\u5831\u30bb\u30f3\u30bf\u30fc/33\u5ca1\u5c71\u770c/107\u5409\u4e95\u5ddd\u68ee\u6797\u8a08\u753b\u533a/\u7b2c5\u7cfb/\u6797\u73ed\u533a\u753b.shp'", "crsjgd2000": "QgsCoordinateReferenceSystem('EPSG:2447')"}, "OUTPUTS": {"": "E:/G\u7a7a\u9593\u60c5\u5831\u30bb\u30f3\u30bf\u30fc/33\u5ca1\u5c71\u770c/107\u5409\u4e95\u5ddd\u68ee\u6797\u8a08\u753b\u533aTKY2JGD/\u7b2c5\u7cfb/\u6797\u73ed\u533a\u753b.fgb"}}</t>
  </si>
  <si>
    <t>{"PARAMETERS": {"2": "'E:/G\u7a7a\u9593\u60c5\u5831\u30bb\u30f3\u30bf\u30fc/33\u5ca1\u5c71\u770c/107\u5409\u4e95\u5ddd\u68ee\u6797\u8a08\u753b\u533a/\u7b2c5\u7cfb/\u5c0f\u73ed\u754c.shp'", "crsjgd2000": "QgsCoordinateReferenceSystem('EPSG:2447')"}, "OUTPUTS": {"": "E:/G\u7a7a\u9593\u60c5\u5831\u30bb\u30f3\u30bf\u30fc/33\u5ca1\u5c71\u770c/107\u5409\u4e95\u5ddd\u68ee\u6797\u8a08\u753b\u533aTKY2JGD/\u7b2c5\u7cfb/\u5c0f\u73ed\u754c.fgb"}}</t>
  </si>
  <si>
    <t>{"PARAMETERS": {"2": "'E:/G\u7a7a\u9593\u60c5\u5831\u30bb\u30f3\u30bf\u30fc/33\u5ca1\u5c71\u770c/107\u5409\u4e95\u5ddd\u68ee\u6797\u8a08\u753b\u533a/\u7b2c5\u7cfb/\u5c0f\u73ed\u533a\u753b.shp'", "crsjgd2000": "QgsCoordinateReferenceSystem('EPSG:2447')"}, "OUTPUTS": {"": "E:/G\u7a7a\u9593\u60c5\u5831\u30bb\u30f3\u30bf\u30fc/33\u5ca1\u5c71\u770c/107\u5409\u4e95\u5ddd\u68ee\u6797\u8a08\u753b\u533aTKY2JGD/\u7b2c5\u7cfb/\u5c0f\u73ed\u533a\u753b.fgb"}}</t>
  </si>
  <si>
    <t>{"PARAMETERS": {"2": "'E:/G\u7a7a\u9593\u60c5\u5831\u30bb\u30f3\u30bf\u30fc/33\u5ca1\u5c71\u770c/107\u5409\u4e95\u5ddd\u68ee\u6797\u8a08\u753b\u533a/\u7b2c5\u7cfb/\u6797\u9053.shp'", "crsjgd2000": "QgsCoordinateReferenceSystem('EPSG:2447')"}, "OUTPUTS": {"": "E:/G\u7a7a\u9593\u60c5\u5831\u30bb\u30f3\u30bf\u30fc/33\u5ca1\u5c71\u770c/107\u5409\u4e95\u5ddd\u68ee\u6797\u8a08\u753b\u533aTKY2JGD/\u7b2c5\u7cfb/\u6797\u9053.fgb"}}</t>
  </si>
  <si>
    <t>{"PARAMETERS": {"2": "'E:/G\u7a7a\u9593\u60c5\u5831\u30bb\u30f3\u30bf\u30fc/33\u5ca1\u5c71\u770c/107\u5409\u4e95\u5ddd\u68ee\u6797\u8a08\u753b\u533a/\u7b2c5\u7cfb/\u4f5c\u696d\u9053.shp'", "crsjgd2000": "QgsCoordinateReferenceSystem('EPSG:2447')"}, "OUTPUTS": {"": "E:/G\u7a7a\u9593\u60c5\u5831\u30bb\u30f3\u30bf\u30fc/33\u5ca1\u5c71\u770c/107\u5409\u4e95\u5ddd\u68ee\u6797\u8a08\u753b\u533aTKY2JGD/\u7b2c5\u7cfb/\u4f5c\u696d\u9053.fgb"}}</t>
  </si>
  <si>
    <t>{"PARAMETERS": {"2": "'E:/G\u7a7a\u9593\u60c5\u5831\u30bb\u30f3\u30bf\u30fc/33\u5ca1\u5c71\u770c/107\u5409\u4e95\u5ddd\u68ee\u6797\u8a08\u753b\u533a/\u7b2c5\u7cfb/\u7b49\u9ad8\u7dda10m\u9593\u9694.shp'", "crsjgd2000": "QgsCoordinateReferenceSystem('EPSG:2447')"}, "OUTPUTS": {"": "E:/G\u7a7a\u9593\u60c5\u5831\u30bb\u30f3\u30bf\u30fc/33\u5ca1\u5c71\u770c/107\u5409\u4e95\u5ddd\u68ee\u6797\u8a08\u753b\u533aTKY2JGD/\u7b2c5\u7cfb/\u7b49\u9ad8\u7dda10m\u9593\u9694.fgb"}}</t>
  </si>
  <si>
    <t>{"PARAMETERS": {"2": "'E:/G\u7a7a\u9593\u60c5\u5831\u30bb\u30f3\u30bf\u30fc/34\u5e83\u5cf6\u770c/108\u9ad8\u6881\u5ddd\u4e0a\u6d41\u68ee\u6797\u8a08\u753b\u533a/\u7b2c3\u7cfb/\u5883\u754c.shp'", "crsjgd2000": "QgsCoordinateReferenceSystem('EPSG:2445')"}, "OUTPUTS": {"": "E:/G\u7a7a\u9593\u60c5\u5831\u30bb\u30f3\u30bf\u30fc/34\u5e83\u5cf6\u770c/108\u9ad8\u6881\u5ddd\u4e0a\u6d41\u68ee\u6797\u8a08\u753b\u533aTKY2JGD/\u7b2c3\u7cfb/\u5883\u754c.fgb"}}</t>
  </si>
  <si>
    <t>{"PARAMETERS": {"2": "'E:/G\u7a7a\u9593\u60c5\u5831\u30bb\u30f3\u30bf\u30fc/34\u5e83\u5cf6\u770c/108\u9ad8\u6881\u5ddd\u4e0a\u6d41\u68ee\u6797\u8a08\u753b\u533a/\u7b2c3\u7cfb/\u6797\u73ed\u754c.shp'", "crsjgd2000": "QgsCoordinateReferenceSystem('EPSG:2445')"}, "OUTPUTS": {"": "E:/G\u7a7a\u9593\u60c5\u5831\u30bb\u30f3\u30bf\u30fc/34\u5e83\u5cf6\u770c/108\u9ad8\u6881\u5ddd\u4e0a\u6d41\u68ee\u6797\u8a08\u753b\u533aTKY2JGD/\u7b2c3\u7cfb/\u6797\u73ed\u754c.fgb"}}</t>
  </si>
  <si>
    <t>{"PARAMETERS": {"2": "'E:/G\u7a7a\u9593\u60c5\u5831\u30bb\u30f3\u30bf\u30fc/34\u5e83\u5cf6\u770c/108\u9ad8\u6881\u5ddd\u4e0a\u6d41\u68ee\u6797\u8a08\u753b\u533a/\u7b2c3\u7cfb/\u6797\u73ed\u533a\u753b.shp'", "crsjgd2000": "QgsCoordinateReferenceSystem('EPSG:2445')"}, "OUTPUTS": {"": "E:/G\u7a7a\u9593\u60c5\u5831\u30bb\u30f3\u30bf\u30fc/34\u5e83\u5cf6\u770c/108\u9ad8\u6881\u5ddd\u4e0a\u6d41\u68ee\u6797\u8a08\u753b\u533aTKY2JGD/\u7b2c3\u7cfb/\u6797\u73ed\u533a\u753b.fgb"}}</t>
  </si>
  <si>
    <t>{"PARAMETERS": {"2": "'E:/G\u7a7a\u9593\u60c5\u5831\u30bb\u30f3\u30bf\u30fc/34\u5e83\u5cf6\u770c/108\u9ad8\u6881\u5ddd\u4e0a\u6d41\u68ee\u6797\u8a08\u753b\u533a/\u7b2c3\u7cfb/\u5c0f\u73ed\u754c.shp'", "crsjgd2000": "QgsCoordinateReferenceSystem('EPSG:2445')"}, "OUTPUTS": {"": "E:/G\u7a7a\u9593\u60c5\u5831\u30bb\u30f3\u30bf\u30fc/34\u5e83\u5cf6\u770c/108\u9ad8\u6881\u5ddd\u4e0a\u6d41\u68ee\u6797\u8a08\u753b\u533aTKY2JGD/\u7b2c3\u7cfb/\u5c0f\u73ed\u754c.fgb"}}</t>
  </si>
  <si>
    <t>{"PARAMETERS": {"2": "'E:/G\u7a7a\u9593\u60c5\u5831\u30bb\u30f3\u30bf\u30fc/34\u5e83\u5cf6\u770c/108\u9ad8\u6881\u5ddd\u4e0a\u6d41\u68ee\u6797\u8a08\u753b\u533a/\u7b2c3\u7cfb/\u5c0f\u73ed\u533a\u753b.shp'", "crsjgd2000": "QgsCoordinateReferenceSystem('EPSG:2445')"}, "OUTPUTS": {"": "E:/G\u7a7a\u9593\u60c5\u5831\u30bb\u30f3\u30bf\u30fc/34\u5e83\u5cf6\u770c/108\u9ad8\u6881\u5ddd\u4e0a\u6d41\u68ee\u6797\u8a08\u753b\u533aTKY2JGD/\u7b2c3\u7cfb/\u5c0f\u73ed\u533a\u753b.fgb"}}</t>
  </si>
  <si>
    <t>{"PARAMETERS": {"2": "'E:/G\u7a7a\u9593\u60c5\u5831\u30bb\u30f3\u30bf\u30fc/34\u5e83\u5cf6\u770c/108\u9ad8\u6881\u5ddd\u4e0a\u6d41\u68ee\u6797\u8a08\u753b\u533a/\u7b2c3\u7cfb/\u6797\u9053.shp'", "crsjgd2000": "QgsCoordinateReferenceSystem('EPSG:2445')"}, "OUTPUTS": {"": "E:/G\u7a7a\u9593\u60c5\u5831\u30bb\u30f3\u30bf\u30fc/34\u5e83\u5cf6\u770c/108\u9ad8\u6881\u5ddd\u4e0a\u6d41\u68ee\u6797\u8a08\u753b\u533aTKY2JGD/\u7b2c3\u7cfb/\u6797\u9053.fgb"}}</t>
  </si>
  <si>
    <t>{"PARAMETERS": {"2": "'E:/G\u7a7a\u9593\u60c5\u5831\u30bb\u30f3\u30bf\u30fc/34\u5e83\u5cf6\u770c/108\u9ad8\u6881\u5ddd\u4e0a\u6d41\u68ee\u6797\u8a08\u753b\u533a/\u7b2c3\u7cfb/\u4f5c\u696d\u9053.shp'", "crsjgd2000": "QgsCoordinateReferenceSystem('EPSG:2445')"}, "OUTPUTS": {"": "E:/G\u7a7a\u9593\u60c5\u5831\u30bb\u30f3\u30bf\u30fc/34\u5e83\u5cf6\u770c/108\u9ad8\u6881\u5ddd\u4e0a\u6d41\u68ee\u6797\u8a08\u753b\u533aTKY2JGD/\u7b2c3\u7cfb/\u4f5c\u696d\u9053.fgb"}}</t>
  </si>
  <si>
    <t>{"PARAMETERS": {"2": "'E:/G\u7a7a\u9593\u60c5\u5831\u30bb\u30f3\u30bf\u30fc/34\u5e83\u5cf6\u770c/108\u9ad8\u6881\u5ddd\u4e0a\u6d41\u68ee\u6797\u8a08\u753b\u533a/\u7b2c3\u7cfb/\u7b49\u9ad8\u7dda10m\u9593\u9694.shp'", "crsjgd2000": "QgsCoordinateReferenceSystem('EPSG:2445')"}, "OUTPUTS": {"": "E:/G\u7a7a\u9593\u60c5\u5831\u30bb\u30f3\u30bf\u30fc/34\u5e83\u5cf6\u770c/108\u9ad8\u6881\u5ddd\u4e0a\u6d41\u68ee\u6797\u8a08\u753b\u533aTKY2JGD/\u7b2c3\u7cfb/\u7b49\u9ad8\u7dda10m\u9593\u9694.fgb"}}</t>
  </si>
  <si>
    <t>{"PARAMETERS": {"2": "'E:/G\u7a7a\u9593\u60c5\u5831\u30bb\u30f3\u30bf\u30fc/34\u5e83\u5cf6\u770c/109\u6c5f\u306e\u5ddd\u4e0a\u6d41\u68ee\u6797\u8a08\u753b\u533a/\u7b2c3\u7cfb/\u5883\u754c.shp'", "crsjgd2000": "QgsCoordinateReferenceSystem('EPSG:2445')"}, "OUTPUTS": {"": "E:/G\u7a7a\u9593\u60c5\u5831\u30bb\u30f3\u30bf\u30fc/34\u5e83\u5cf6\u770c/109\u6c5f\u306e\u5ddd\u4e0a\u6d41\u68ee\u6797\u8a08\u753b\u533aTKY2JGD/\u7b2c3\u7cfb/\u5883\u754c.fgb"}}</t>
  </si>
  <si>
    <t>{"PARAMETERS": {"2": "'E:/G\u7a7a\u9593\u60c5\u5831\u30bb\u30f3\u30bf\u30fc/34\u5e83\u5cf6\u770c/109\u6c5f\u306e\u5ddd\u4e0a\u6d41\u68ee\u6797\u8a08\u753b\u533a/\u7b2c3\u7cfb/\u6797\u73ed\u754c.shp'", "crsjgd2000": "QgsCoordinateReferenceSystem('EPSG:2445')"}, "OUTPUTS": {"": "E:/G\u7a7a\u9593\u60c5\u5831\u30bb\u30f3\u30bf\u30fc/34\u5e83\u5cf6\u770c/109\u6c5f\u306e\u5ddd\u4e0a\u6d41\u68ee\u6797\u8a08\u753b\u533aTKY2JGD/\u7b2c3\u7cfb/\u6797\u73ed\u754c.fgb"}}</t>
  </si>
  <si>
    <t>{"PARAMETERS": {"2": "'E:/G\u7a7a\u9593\u60c5\u5831\u30bb\u30f3\u30bf\u30fc/34\u5e83\u5cf6\u770c/109\u6c5f\u306e\u5ddd\u4e0a\u6d41\u68ee\u6797\u8a08\u753b\u533a/\u7b2c3\u7cfb/\u6797\u73ed\u533a\u753b.shp'", "crsjgd2000": "QgsCoordinateReferenceSystem('EPSG:2445')"}, "OUTPUTS": {"": "E:/G\u7a7a\u9593\u60c5\u5831\u30bb\u30f3\u30bf\u30fc/34\u5e83\u5cf6\u770c/109\u6c5f\u306e\u5ddd\u4e0a\u6d41\u68ee\u6797\u8a08\u753b\u533aTKY2JGD/\u7b2c3\u7cfb/\u6797\u73ed\u533a\u753b.fgb"}}</t>
  </si>
  <si>
    <t>{"PARAMETERS": {"2": "'E:/G\u7a7a\u9593\u60c5\u5831\u30bb\u30f3\u30bf\u30fc/34\u5e83\u5cf6\u770c/109\u6c5f\u306e\u5ddd\u4e0a\u6d41\u68ee\u6797\u8a08\u753b\u533a/\u7b2c3\u7cfb/\u5c0f\u73ed\u754c.shp'", "crsjgd2000": "QgsCoordinateReferenceSystem('EPSG:2445')"}, "OUTPUTS": {"": "E:/G\u7a7a\u9593\u60c5\u5831\u30bb\u30f3\u30bf\u30fc/34\u5e83\u5cf6\u770c/109\u6c5f\u306e\u5ddd\u4e0a\u6d41\u68ee\u6797\u8a08\u753b\u533aTKY2JGD/\u7b2c3\u7cfb/\u5c0f\u73ed\u754c.fgb"}}</t>
  </si>
  <si>
    <t>{"PARAMETERS": {"2": "'E:/G\u7a7a\u9593\u60c5\u5831\u30bb\u30f3\u30bf\u30fc/34\u5e83\u5cf6\u770c/109\u6c5f\u306e\u5ddd\u4e0a\u6d41\u68ee\u6797\u8a08\u753b\u533a/\u7b2c3\u7cfb/\u5c0f\u73ed\u533a\u753b.shp'", "crsjgd2000": "QgsCoordinateReferenceSystem('EPSG:2445')"}, "OUTPUTS": {"": "E:/G\u7a7a\u9593\u60c5\u5831\u30bb\u30f3\u30bf\u30fc/34\u5e83\u5cf6\u770c/109\u6c5f\u306e\u5ddd\u4e0a\u6d41\u68ee\u6797\u8a08\u753b\u533aTKY2JGD/\u7b2c3\u7cfb/\u5c0f\u73ed\u533a\u753b.fgb"}}</t>
  </si>
  <si>
    <t>{"PARAMETERS": {"2": "'E:/G\u7a7a\u9593\u60c5\u5831\u30bb\u30f3\u30bf\u30fc/34\u5e83\u5cf6\u770c/109\u6c5f\u306e\u5ddd\u4e0a\u6d41\u68ee\u6797\u8a08\u753b\u533a/\u7b2c3\u7cfb/\u6797\u9053.shp'", "crsjgd2000": "QgsCoordinateReferenceSystem('EPSG:2445')"}, "OUTPUTS": {"": "E:/G\u7a7a\u9593\u60c5\u5831\u30bb\u30f3\u30bf\u30fc/34\u5e83\u5cf6\u770c/109\u6c5f\u306e\u5ddd\u4e0a\u6d41\u68ee\u6797\u8a08\u753b\u533aTKY2JGD/\u7b2c3\u7cfb/\u6797\u9053.fgb"}}</t>
  </si>
  <si>
    <t>{"PARAMETERS": {"2": "'E:/G\u7a7a\u9593\u60c5\u5831\u30bb\u30f3\u30bf\u30fc/34\u5e83\u5cf6\u770c/109\u6c5f\u306e\u5ddd\u4e0a\u6d41\u68ee\u6797\u8a08\u753b\u533a/\u7b2c3\u7cfb/\u4f5c\u696d\u9053.shp'", "crsjgd2000": "QgsCoordinateReferenceSystem('EPSG:2445')"}, "OUTPUTS": {"": "E:/G\u7a7a\u9593\u60c5\u5831\u30bb\u30f3\u30bf\u30fc/34\u5e83\u5cf6\u770c/109\u6c5f\u306e\u5ddd\u4e0a\u6d41\u68ee\u6797\u8a08\u753b\u533aTKY2JGD/\u7b2c3\u7cfb/\u4f5c\u696d\u9053.fgb"}}</t>
  </si>
  <si>
    <t>{"PARAMETERS": {"2": "'E:/G\u7a7a\u9593\u60c5\u5831\u30bb\u30f3\u30bf\u30fc/34\u5e83\u5cf6\u770c/109\u6c5f\u306e\u5ddd\u4e0a\u6d41\u68ee\u6797\u8a08\u753b\u533a/\u7b2c3\u7cfb/\u7b49\u9ad8\u7dda10m\u9593\u9694.shp'", "crsjgd2000": "QgsCoordinateReferenceSystem('EPSG:2445')"}, "OUTPUTS": {"": "E:/G\u7a7a\u9593\u60c5\u5831\u30bb\u30f3\u30bf\u30fc/34\u5e83\u5cf6\u770c/109\u6c5f\u306e\u5ddd\u4e0a\u6d41\u68ee\u6797\u8a08\u753b\u533aTKY2JGD/\u7b2c3\u7cfb/\u7b49\u9ad8\u7dda10m\u9593\u9694.fgb"}}</t>
  </si>
  <si>
    <t>{"PARAMETERS": {"2": "'E:/G\u7a7a\u9593\u60c5\u5831\u30bb\u30f3\u30bf\u30fc/34\u5e83\u5cf6\u770c/110\u592a\u7530\u5ddd\u68ee\u6797\u8a08\u753b\u533a/\u7b2c3\u7cfb/\u5883\u754c.shp'", "crsjgd2000": "QgsCoordinateReferenceSystem('EPSG:2445')"}, "OUTPUTS": {"": "E:/G\u7a7a\u9593\u60c5\u5831\u30bb\u30f3\u30bf\u30fc/34\u5e83\u5cf6\u770c/110\u592a\u7530\u5ddd\u68ee\u6797\u8a08\u753b\u533aTKY2JGD/\u7b2c3\u7cfb/\u5883\u754c.fgb"}}</t>
  </si>
  <si>
    <t>{"PARAMETERS": {"2": "'E:/G\u7a7a\u9593\u60c5\u5831\u30bb\u30f3\u30bf\u30fc/34\u5e83\u5cf6\u770c/110\u592a\u7530\u5ddd\u68ee\u6797\u8a08\u753b\u533a/\u7b2c3\u7cfb/\u6797\u73ed\u754c.shp'", "crsjgd2000": "QgsCoordinateReferenceSystem('EPSG:2445')"}, "OUTPUTS": {"": "E:/G\u7a7a\u9593\u60c5\u5831\u30bb\u30f3\u30bf\u30fc/34\u5e83\u5cf6\u770c/110\u592a\u7530\u5ddd\u68ee\u6797\u8a08\u753b\u533aTKY2JGD/\u7b2c3\u7cfb/\u6797\u73ed\u754c.fgb"}}</t>
  </si>
  <si>
    <t>{"PARAMETERS": {"2": "'E:/G\u7a7a\u9593\u60c5\u5831\u30bb\u30f3\u30bf\u30fc/34\u5e83\u5cf6\u770c/110\u592a\u7530\u5ddd\u68ee\u6797\u8a08\u753b\u533a/\u7b2c3\u7cfb/\u6797\u73ed\u533a\u753b.shp'", "crsjgd2000": "QgsCoordinateReferenceSystem('EPSG:2445')"}, "OUTPUTS": {"": "E:/G\u7a7a\u9593\u60c5\u5831\u30bb\u30f3\u30bf\u30fc/34\u5e83\u5cf6\u770c/110\u592a\u7530\u5ddd\u68ee\u6797\u8a08\u753b\u533aTKY2JGD/\u7b2c3\u7cfb/\u6797\u73ed\u533a\u753b.fgb"}}</t>
  </si>
  <si>
    <t>{"PARAMETERS": {"2": "'E:/G\u7a7a\u9593\u60c5\u5831\u30bb\u30f3\u30bf\u30fc/34\u5e83\u5cf6\u770c/110\u592a\u7530\u5ddd\u68ee\u6797\u8a08\u753b\u533a/\u7b2c3\u7cfb/\u5c0f\u73ed\u754c.shp'", "crsjgd2000": "QgsCoordinateReferenceSystem('EPSG:2445')"}, "OUTPUTS": {"": "E:/G\u7a7a\u9593\u60c5\u5831\u30bb\u30f3\u30bf\u30fc/34\u5e83\u5cf6\u770c/110\u592a\u7530\u5ddd\u68ee\u6797\u8a08\u753b\u533aTKY2JGD/\u7b2c3\u7cfb/\u5c0f\u73ed\u754c.fgb"}}</t>
  </si>
  <si>
    <t>{"PARAMETERS": {"2": "'E:/G\u7a7a\u9593\u60c5\u5831\u30bb\u30f3\u30bf\u30fc/34\u5e83\u5cf6\u770c/110\u592a\u7530\u5ddd\u68ee\u6797\u8a08\u753b\u533a/\u7b2c3\u7cfb/\u5c0f\u73ed\u533a\u753b.shp'", "crsjgd2000": "QgsCoordinateReferenceSystem('EPSG:2445')"}, "OUTPUTS": {"": "E:/G\u7a7a\u9593\u60c5\u5831\u30bb\u30f3\u30bf\u30fc/34\u5e83\u5cf6\u770c/110\u592a\u7530\u5ddd\u68ee\u6797\u8a08\u753b\u533aTKY2JGD/\u7b2c3\u7cfb/\u5c0f\u73ed\u533a\u753b.fgb"}}</t>
  </si>
  <si>
    <t>{"PARAMETERS": {"2": "'E:/G\u7a7a\u9593\u60c5\u5831\u30bb\u30f3\u30bf\u30fc/34\u5e83\u5cf6\u770c/110\u592a\u7530\u5ddd\u68ee\u6797\u8a08\u753b\u533a/\u7b2c3\u7cfb/\u6797\u9053.shp'", "crsjgd2000": "QgsCoordinateReferenceSystem('EPSG:2445')"}, "OUTPUTS": {"": "E:/G\u7a7a\u9593\u60c5\u5831\u30bb\u30f3\u30bf\u30fc/34\u5e83\u5cf6\u770c/110\u592a\u7530\u5ddd\u68ee\u6797\u8a08\u753b\u533aTKY2JGD/\u7b2c3\u7cfb/\u6797\u9053.fgb"}}</t>
  </si>
  <si>
    <t>{"PARAMETERS": {"2": "'E:/G\u7a7a\u9593\u60c5\u5831\u30bb\u30f3\u30bf\u30fc/34\u5e83\u5cf6\u770c/110\u592a\u7530\u5ddd\u68ee\u6797\u8a08\u753b\u533a/\u7b2c3\u7cfb/\u4f5c\u696d\u9053.shp'", "crsjgd2000": "QgsCoordinateReferenceSystem('EPSG:2445')"}, "OUTPUTS": {"": "E:/G\u7a7a\u9593\u60c5\u5831\u30bb\u30f3\u30bf\u30fc/34\u5e83\u5cf6\u770c/110\u592a\u7530\u5ddd\u68ee\u6797\u8a08\u753b\u533aTKY2JGD/\u7b2c3\u7cfb/\u4f5c\u696d\u9053.fgb"}}</t>
  </si>
  <si>
    <t>{"PARAMETERS": {"2": "'E:/G\u7a7a\u9593\u60c5\u5831\u30bb\u30f3\u30bf\u30fc/34\u5e83\u5cf6\u770c/110\u592a\u7530\u5ddd\u68ee\u6797\u8a08\u753b\u533a/\u7b2c3\u7cfb/\u7b49\u9ad8\u7dda10m\u9593\u9694.shp'", "crsjgd2000": "QgsCoordinateReferenceSystem('EPSG:2445')"}, "OUTPUTS": {"": "E:/G\u7a7a\u9593\u60c5\u5831\u30bb\u30f3\u30bf\u30fc/34\u5e83\u5cf6\u770c/110\u592a\u7530\u5ddd\u68ee\u6797\u8a08\u753b\u533aTKY2JGD/\u7b2c3\u7cfb/\u7b49\u9ad8\u7dda10m\u9593\u9694.fgb"}}</t>
  </si>
  <si>
    <t>{"PARAMETERS": {"2": "'E:/G\u7a7a\u9593\u60c5\u5831\u30bb\u30f3\u30bf\u30fc/34\u5e83\u5cf6\u770c/111\u702c\u6238\u5185\u68ee\u6797\u8a08\u753b\u533a/\u7b2c3\u7cfb/\u5883\u754c.shp'", "crsjgd2000": "QgsCoordinateReferenceSystem('EPSG:2445')"}, "OUTPUTS": {"": "E:/G\u7a7a\u9593\u60c5\u5831\u30bb\u30f3\u30bf\u30fc/34\u5e83\u5cf6\u770c/111\u702c\u6238\u5185\u68ee\u6797\u8a08\u753b\u533aTKY2JGD/\u7b2c3\u7cfb/\u5883\u754c.fgb"}}</t>
  </si>
  <si>
    <t>{"PARAMETERS": {"2": "'E:/G\u7a7a\u9593\u60c5\u5831\u30bb\u30f3\u30bf\u30fc/34\u5e83\u5cf6\u770c/111\u702c\u6238\u5185\u68ee\u6797\u8a08\u753b\u533a/\u7b2c3\u7cfb/\u6797\u73ed\u754c.shp'", "crsjgd2000": "QgsCoordinateReferenceSystem('EPSG:2445')"}, "OUTPUTS": {"": "E:/G\u7a7a\u9593\u60c5\u5831\u30bb\u30f3\u30bf\u30fc/34\u5e83\u5cf6\u770c/111\u702c\u6238\u5185\u68ee\u6797\u8a08\u753b\u533aTKY2JGD/\u7b2c3\u7cfb/\u6797\u73ed\u754c.fgb"}}</t>
  </si>
  <si>
    <t>{"PARAMETERS": {"2": "'E:/G\u7a7a\u9593\u60c5\u5831\u30bb\u30f3\u30bf\u30fc/34\u5e83\u5cf6\u770c/111\u702c\u6238\u5185\u68ee\u6797\u8a08\u753b\u533a/\u7b2c3\u7cfb/\u6797\u73ed\u533a\u753b.shp'", "crsjgd2000": "QgsCoordinateReferenceSystem('EPSG:2445')"}, "OUTPUTS": {"": "E:/G\u7a7a\u9593\u60c5\u5831\u30bb\u30f3\u30bf\u30fc/34\u5e83\u5cf6\u770c/111\u702c\u6238\u5185\u68ee\u6797\u8a08\u753b\u533aTKY2JGD/\u7b2c3\u7cfb/\u6797\u73ed\u533a\u753b.fgb"}}</t>
  </si>
  <si>
    <t>{"PARAMETERS": {"2": "'E:/G\u7a7a\u9593\u60c5\u5831\u30bb\u30f3\u30bf\u30fc/34\u5e83\u5cf6\u770c/111\u702c\u6238\u5185\u68ee\u6797\u8a08\u753b\u533a/\u7b2c3\u7cfb/\u5c0f\u73ed\u754c.shp'", "crsjgd2000": "QgsCoordinateReferenceSystem('EPSG:2445')"}, "OUTPUTS": {"": "E:/G\u7a7a\u9593\u60c5\u5831\u30bb\u30f3\u30bf\u30fc/34\u5e83\u5cf6\u770c/111\u702c\u6238\u5185\u68ee\u6797\u8a08\u753b\u533aTKY2JGD/\u7b2c3\u7cfb/\u5c0f\u73ed\u754c.fgb"}}</t>
  </si>
  <si>
    <t>{"PARAMETERS": {"2": "'E:/G\u7a7a\u9593\u60c5\u5831\u30bb\u30f3\u30bf\u30fc/34\u5e83\u5cf6\u770c/111\u702c\u6238\u5185\u68ee\u6797\u8a08\u753b\u533a/\u7b2c3\u7cfb/\u5c0f\u73ed\u533a\u753b.shp'", "crsjgd2000": "QgsCoordinateReferenceSystem('EPSG:2445')"}, "OUTPUTS": {"": "E:/G\u7a7a\u9593\u60c5\u5831\u30bb\u30f3\u30bf\u30fc/34\u5e83\u5cf6\u770c/111\u702c\u6238\u5185\u68ee\u6797\u8a08\u753b\u533aTKY2JGD/\u7b2c3\u7cfb/\u5c0f\u73ed\u533a\u753b.fgb"}}</t>
  </si>
  <si>
    <t>{"PARAMETERS": {"2": "'E:/G\u7a7a\u9593\u60c5\u5831\u30bb\u30f3\u30bf\u30fc/34\u5e83\u5cf6\u770c/111\u702c\u6238\u5185\u68ee\u6797\u8a08\u753b\u533a/\u7b2c3\u7cfb/\u6797\u9053.shp'", "crsjgd2000": "QgsCoordinateReferenceSystem('EPSG:2445')"}, "OUTPUTS": {"": "E:/G\u7a7a\u9593\u60c5\u5831\u30bb\u30f3\u30bf\u30fc/34\u5e83\u5cf6\u770c/111\u702c\u6238\u5185\u68ee\u6797\u8a08\u753b\u533aTKY2JGD/\u7b2c3\u7cfb/\u6797\u9053.fgb"}}</t>
  </si>
  <si>
    <t>{"PARAMETERS": {"2": "'E:/G\u7a7a\u9593\u60c5\u5831\u30bb\u30f3\u30bf\u30fc/34\u5e83\u5cf6\u770c/111\u702c\u6238\u5185\u68ee\u6797\u8a08\u753b\u533a/\u7b2c3\u7cfb/\u4f5c\u696d\u9053.shp'", "crsjgd2000": "QgsCoordinateReferenceSystem('EPSG:2445')"}, "OUTPUTS": {"": "E:/G\u7a7a\u9593\u60c5\u5831\u30bb\u30f3\u30bf\u30fc/34\u5e83\u5cf6\u770c/111\u702c\u6238\u5185\u68ee\u6797\u8a08\u753b\u533aTKY2JGD/\u7b2c3\u7cfb/\u4f5c\u696d\u9053.fgb"}}</t>
  </si>
  <si>
    <t>{"PARAMETERS": {"2": "'E:/G\u7a7a\u9593\u60c5\u5831\u30bb\u30f3\u30bf\u30fc/34\u5e83\u5cf6\u770c/111\u702c\u6238\u5185\u68ee\u6797\u8a08\u753b\u533a/\u7b2c3\u7cfb/\u7b49\u9ad8\u7dda10m\u9593\u9694.shp'", "crsjgd2000": "QgsCoordinateReferenceSystem('EPSG:2445')"}, "OUTPUTS": {"": "E:/G\u7a7a\u9593\u60c5\u5831\u30bb\u30f3\u30bf\u30fc/34\u5e83\u5cf6\u770c/111\u702c\u6238\u5185\u68ee\u6797\u8a08\u753b\u533aTKY2JGD/\u7b2c3\u7cfb/\u7b49\u9ad8\u7dda10m\u9593\u9694.fgb"}}</t>
  </si>
  <si>
    <t>{"PARAMETERS": {"2": "'E:/G\u7a7a\u9593\u60c5\u5831\u30bb\u30f3\u30bf\u30fc/35\u5c71\u53e3\u770c/112\u5c71\u53e3\u68ee\u6797\u8a08\u753b\u533a/\u7b2c3\u7cfb/\u5883\u754c.shp'", "crsjgd2000": "QgsCoordinateReferenceSystem('EPSG:2445')"}, "OUTPUTS": {"": "E:/G\u7a7a\u9593\u60c5\u5831\u30bb\u30f3\u30bf\u30fc/35\u5c71\u53e3\u770c/112\u5c71\u53e3\u68ee\u6797\u8a08\u753b\u533aTKY2JGD/\u7b2c3\u7cfb/\u5883\u754c.fgb"}}</t>
  </si>
  <si>
    <t>{"PARAMETERS": {"2": "'E:/G\u7a7a\u9593\u60c5\u5831\u30bb\u30f3\u30bf\u30fc/35\u5c71\u53e3\u770c/112\u5c71\u53e3\u68ee\u6797\u8a08\u753b\u533a/\u7b2c3\u7cfb/\u6797\u73ed\u754c.shp'", "crsjgd2000": "QgsCoordinateReferenceSystem('EPSG:2445')"}, "OUTPUTS": {"": "E:/G\u7a7a\u9593\u60c5\u5831\u30bb\u30f3\u30bf\u30fc/35\u5c71\u53e3\u770c/112\u5c71\u53e3\u68ee\u6797\u8a08\u753b\u533aTKY2JGD/\u7b2c3\u7cfb/\u6797\u73ed\u754c.fgb"}}</t>
  </si>
  <si>
    <t>{"PARAMETERS": {"2": "'E:/G\u7a7a\u9593\u60c5\u5831\u30bb\u30f3\u30bf\u30fc/35\u5c71\u53e3\u770c/112\u5c71\u53e3\u68ee\u6797\u8a08\u753b\u533a/\u7b2c3\u7cfb/\u6797\u73ed\u533a\u753b.shp'", "crsjgd2000": "QgsCoordinateReferenceSystem('EPSG:2445')"}, "OUTPUTS": {"": "E:/G\u7a7a\u9593\u60c5\u5831\u30bb\u30f3\u30bf\u30fc/35\u5c71\u53e3\u770c/112\u5c71\u53e3\u68ee\u6797\u8a08\u753b\u533aTKY2JGD/\u7b2c3\u7cfb/\u6797\u73ed\u533a\u753b.fgb"}}</t>
  </si>
  <si>
    <t>{"PARAMETERS": {"2": "'E:/G\u7a7a\u9593\u60c5\u5831\u30bb\u30f3\u30bf\u30fc/35\u5c71\u53e3\u770c/112\u5c71\u53e3\u68ee\u6797\u8a08\u753b\u533a/\u7b2c3\u7cfb/\u5c0f\u73ed\u754c.shp'", "crsjgd2000": "QgsCoordinateReferenceSystem('EPSG:2445')"}, "OUTPUTS": {"": "E:/G\u7a7a\u9593\u60c5\u5831\u30bb\u30f3\u30bf\u30fc/35\u5c71\u53e3\u770c/112\u5c71\u53e3\u68ee\u6797\u8a08\u753b\u533aTKY2JGD/\u7b2c3\u7cfb/\u5c0f\u73ed\u754c.fgb"}}</t>
  </si>
  <si>
    <t>{"PARAMETERS": {"2": "'E:/G\u7a7a\u9593\u60c5\u5831\u30bb\u30f3\u30bf\u30fc/35\u5c71\u53e3\u770c/112\u5c71\u53e3\u68ee\u6797\u8a08\u753b\u533a/\u7b2c3\u7cfb/\u5c0f\u73ed\u533a\u753b.shp'", "crsjgd2000": "QgsCoordinateReferenceSystem('EPSG:2445')"}, "OUTPUTS": {"": "E:/G\u7a7a\u9593\u60c5\u5831\u30bb\u30f3\u30bf\u30fc/35\u5c71\u53e3\u770c/112\u5c71\u53e3\u68ee\u6797\u8a08\u753b\u533aTKY2JGD/\u7b2c3\u7cfb/\u5c0f\u73ed\u533a\u753b.fgb"}}</t>
  </si>
  <si>
    <t>{"PARAMETERS": {"2": "'E:/G\u7a7a\u9593\u60c5\u5831\u30bb\u30f3\u30bf\u30fc/35\u5c71\u53e3\u770c/112\u5c71\u53e3\u68ee\u6797\u8a08\u753b\u533a/\u7b2c3\u7cfb/\u6797\u9053.shp'", "crsjgd2000": "QgsCoordinateReferenceSystem('EPSG:2445')"}, "OUTPUTS": {"": "E:/G\u7a7a\u9593\u60c5\u5831\u30bb\u30f3\u30bf\u30fc/35\u5c71\u53e3\u770c/112\u5c71\u53e3\u68ee\u6797\u8a08\u753b\u533aTKY2JGD/\u7b2c3\u7cfb/\u6797\u9053.fgb"}}</t>
  </si>
  <si>
    <t>{"PARAMETERS": {"2": "'E:/G\u7a7a\u9593\u60c5\u5831\u30bb\u30f3\u30bf\u30fc/35\u5c71\u53e3\u770c/112\u5c71\u53e3\u68ee\u6797\u8a08\u753b\u533a/\u7b2c3\u7cfb/\u4f5c\u696d\u9053.shp'", "crsjgd2000": "QgsCoordinateReferenceSystem('EPSG:2445')"}, "OUTPUTS": {"": "E:/G\u7a7a\u9593\u60c5\u5831\u30bb\u30f3\u30bf\u30fc/35\u5c71\u53e3\u770c/112\u5c71\u53e3\u68ee\u6797\u8a08\u753b\u533aTKY2JGD/\u7b2c3\u7cfb/\u4f5c\u696d\u9053.fgb"}}</t>
  </si>
  <si>
    <t>{"PARAMETERS": {"2": "'E:/G\u7a7a\u9593\u60c5\u5831\u30bb\u30f3\u30bf\u30fc/35\u5c71\u53e3\u770c/112\u5c71\u53e3\u68ee\u6797\u8a08\u753b\u533a/\u7b2c3\u7cfb/\u7b49\u9ad8\u7dda10m\u9593\u9694.shp'", "crsjgd2000": "QgsCoordinateReferenceSystem('EPSG:2445')"}, "OUTPUTS": {"": "E:/G\u7a7a\u9593\u60c5\u5831\u30bb\u30f3\u30bf\u30fc/35\u5c71\u53e3\u770c/112\u5c71\u53e3\u68ee\u6797\u8a08\u753b\u533aTKY2JGD/\u7b2c3\u7cfb/\u7b49\u9ad8\u7dda10m\u9593\u9694.fgb"}}</t>
  </si>
  <si>
    <t>{"PARAMETERS": {"2": "'E:/G\u7a7a\u9593\u60c5\u5831\u30bb\u30f3\u30bf\u30fc/35\u5c71\u53e3\u770c/113\u5ca9\u5fb3\u68ee\u6797\u8a08\u753b\u533a/\u7b2c3\u7cfb/\u5883\u754c.shp'", "crsjgd2000": "QgsCoordinateReferenceSystem('EPSG:2445')"}, "OUTPUTS": {"": "E:/G\u7a7a\u9593\u60c5\u5831\u30bb\u30f3\u30bf\u30fc/35\u5c71\u53e3\u770c/113\u5ca9\u5fb3\u68ee\u6797\u8a08\u753b\u533aTKY2JGD/\u7b2c3\u7cfb/\u5883\u754c.fgb"}}</t>
  </si>
  <si>
    <t>{"PARAMETERS": {"2": "'E:/G\u7a7a\u9593\u60c5\u5831\u30bb\u30f3\u30bf\u30fc/35\u5c71\u53e3\u770c/113\u5ca9\u5fb3\u68ee\u6797\u8a08\u753b\u533a/\u7b2c3\u7cfb/\u6797\u73ed\u754c.shp'", "crsjgd2000": "QgsCoordinateReferenceSystem('EPSG:2445')"}, "OUTPUTS": {"": "E:/G\u7a7a\u9593\u60c5\u5831\u30bb\u30f3\u30bf\u30fc/35\u5c71\u53e3\u770c/113\u5ca9\u5fb3\u68ee\u6797\u8a08\u753b\u533aTKY2JGD/\u7b2c3\u7cfb/\u6797\u73ed\u754c.fgb"}}</t>
  </si>
  <si>
    <t>{"PARAMETERS": {"2": "'E:/G\u7a7a\u9593\u60c5\u5831\u30bb\u30f3\u30bf\u30fc/35\u5c71\u53e3\u770c/113\u5ca9\u5fb3\u68ee\u6797\u8a08\u753b\u533a/\u7b2c3\u7cfb/\u6797\u73ed\u533a\u753b.shp'", "crsjgd2000": "QgsCoordinateReferenceSystem('EPSG:2445')"}, "OUTPUTS": {"": "E:/G\u7a7a\u9593\u60c5\u5831\u30bb\u30f3\u30bf\u30fc/35\u5c71\u53e3\u770c/113\u5ca9\u5fb3\u68ee\u6797\u8a08\u753b\u533aTKY2JGD/\u7b2c3\u7cfb/\u6797\u73ed\u533a\u753b.fgb"}}</t>
  </si>
  <si>
    <t>{"PARAMETERS": {"2": "'E:/G\u7a7a\u9593\u60c5\u5831\u30bb\u30f3\u30bf\u30fc/35\u5c71\u53e3\u770c/113\u5ca9\u5fb3\u68ee\u6797\u8a08\u753b\u533a/\u7b2c3\u7cfb/\u5c0f\u73ed\u754c.shp'", "crsjgd2000": "QgsCoordinateReferenceSystem('EPSG:2445')"}, "OUTPUTS": {"": "E:/G\u7a7a\u9593\u60c5\u5831\u30bb\u30f3\u30bf\u30fc/35\u5c71\u53e3\u770c/113\u5ca9\u5fb3\u68ee\u6797\u8a08\u753b\u533aTKY2JGD/\u7b2c3\u7cfb/\u5c0f\u73ed\u754c.fgb"}}</t>
  </si>
  <si>
    <t>{"PARAMETERS": {"2": "'E:/G\u7a7a\u9593\u60c5\u5831\u30bb\u30f3\u30bf\u30fc/35\u5c71\u53e3\u770c/113\u5ca9\u5fb3\u68ee\u6797\u8a08\u753b\u533a/\u7b2c3\u7cfb/\u5c0f\u73ed\u533a\u753b.shp'", "crsjgd2000": "QgsCoordinateReferenceSystem('EPSG:2445')"}, "OUTPUTS": {"": "E:/G\u7a7a\u9593\u60c5\u5831\u30bb\u30f3\u30bf\u30fc/35\u5c71\u53e3\u770c/113\u5ca9\u5fb3\u68ee\u6797\u8a08\u753b\u533aTKY2JGD/\u7b2c3\u7cfb/\u5c0f\u73ed\u533a\u753b.fgb"}}</t>
  </si>
  <si>
    <t>{"PARAMETERS": {"2": "'E:/G\u7a7a\u9593\u60c5\u5831\u30bb\u30f3\u30bf\u30fc/35\u5c71\u53e3\u770c/113\u5ca9\u5fb3\u68ee\u6797\u8a08\u753b\u533a/\u7b2c3\u7cfb/\u6797\u9053.shp'", "crsjgd2000": "QgsCoordinateReferenceSystem('EPSG:2445')"}, "OUTPUTS": {"": "E:/G\u7a7a\u9593\u60c5\u5831\u30bb\u30f3\u30bf\u30fc/35\u5c71\u53e3\u770c/113\u5ca9\u5fb3\u68ee\u6797\u8a08\u753b\u533aTKY2JGD/\u7b2c3\u7cfb/\u6797\u9053.fgb"}}</t>
  </si>
  <si>
    <t>{"PARAMETERS": {"2": "'E:/G\u7a7a\u9593\u60c5\u5831\u30bb\u30f3\u30bf\u30fc/35\u5c71\u53e3\u770c/113\u5ca9\u5fb3\u68ee\u6797\u8a08\u753b\u533a/\u7b2c3\u7cfb/\u4f5c\u696d\u9053.shp'", "crsjgd2000": "QgsCoordinateReferenceSystem('EPSG:2445')"}, "OUTPUTS": {"": "E:/G\u7a7a\u9593\u60c5\u5831\u30bb\u30f3\u30bf\u30fc/35\u5c71\u53e3\u770c/113\u5ca9\u5fb3\u68ee\u6797\u8a08\u753b\u533aTKY2JGD/\u7b2c3\u7cfb/\u4f5c\u696d\u9053.fgb"}}</t>
  </si>
  <si>
    <t>{"PARAMETERS": {"2": "'E:/G\u7a7a\u9593\u60c5\u5831\u30bb\u30f3\u30bf\u30fc/35\u5c71\u53e3\u770c/113\u5ca9\u5fb3\u68ee\u6797\u8a08\u753b\u533a/\u7b2c3\u7cfb/\u7b49\u9ad8\u7dda10m\u9593\u9694.shp'", "crsjgd2000": "QgsCoordinateReferenceSystem('EPSG:2445')"}, "OUTPUTS": {"": "E:/G\u7a7a\u9593\u60c5\u5831\u30bb\u30f3\u30bf\u30fc/35\u5c71\u53e3\u770c/113\u5ca9\u5fb3\u68ee\u6797\u8a08\u753b\u533aTKY2JGD/\u7b2c3\u7cfb/\u7b49\u9ad8\u7dda10m\u9593\u9694.fgb"}}</t>
  </si>
  <si>
    <t>{"PARAMETERS": {"2": "'E:/G\u7a7a\u9593\u60c5\u5831\u30bb\u30f3\u30bf\u30fc/35\u5c71\u53e3\u770c/114\u8c4a\u7530\u68ee\u6797\u8a08\u753b\u533a/\u7b2c3\u7cfb/\u5883\u754c.shp'", "crsjgd2000": "QgsCoordinateReferenceSystem('EPSG:2445')"}, "OUTPUTS": {"": "E:/G\u7a7a\u9593\u60c5\u5831\u30bb\u30f3\u30bf\u30fc/35\u5c71\u53e3\u770c/114\u8c4a\u7530\u68ee\u6797\u8a08\u753b\u533aTKY2JGD/\u7b2c3\u7cfb/\u5883\u754c.fgb"}}</t>
  </si>
  <si>
    <t>{"PARAMETERS": {"2": "'E:/G\u7a7a\u9593\u60c5\u5831\u30bb\u30f3\u30bf\u30fc/35\u5c71\u53e3\u770c/114\u8c4a\u7530\u68ee\u6797\u8a08\u753b\u533a/\u7b2c3\u7cfb/\u6797\u73ed\u754c.shp'", "crsjgd2000": "QgsCoordinateReferenceSystem('EPSG:2445')"}, "OUTPUTS": {"": "E:/G\u7a7a\u9593\u60c5\u5831\u30bb\u30f3\u30bf\u30fc/35\u5c71\u53e3\u770c/114\u8c4a\u7530\u68ee\u6797\u8a08\u753b\u533aTKY2JGD/\u7b2c3\u7cfb/\u6797\u73ed\u754c.fgb"}}</t>
  </si>
  <si>
    <t>{"PARAMETERS": {"2": "'E:/G\u7a7a\u9593\u60c5\u5831\u30bb\u30f3\u30bf\u30fc/35\u5c71\u53e3\u770c/114\u8c4a\u7530\u68ee\u6797\u8a08\u753b\u533a/\u7b2c3\u7cfb/\u6797\u73ed\u533a\u753b.shp'", "crsjgd2000": "QgsCoordinateReferenceSystem('EPSG:2445')"}, "OUTPUTS": {"": "E:/G\u7a7a\u9593\u60c5\u5831\u30bb\u30f3\u30bf\u30fc/35\u5c71\u53e3\u770c/114\u8c4a\u7530\u68ee\u6797\u8a08\u753b\u533aTKY2JGD/\u7b2c3\u7cfb/\u6797\u73ed\u533a\u753b.fgb"}}</t>
  </si>
  <si>
    <t>{"PARAMETERS": {"2": "'E:/G\u7a7a\u9593\u60c5\u5831\u30bb\u30f3\u30bf\u30fc/35\u5c71\u53e3\u770c/114\u8c4a\u7530\u68ee\u6797\u8a08\u753b\u533a/\u7b2c3\u7cfb/\u5c0f\u73ed\u754c.shp'", "crsjgd2000": "QgsCoordinateReferenceSystem('EPSG:2445')"}, "OUTPUTS": {"": "E:/G\u7a7a\u9593\u60c5\u5831\u30bb\u30f3\u30bf\u30fc/35\u5c71\u53e3\u770c/114\u8c4a\u7530\u68ee\u6797\u8a08\u753b\u533aTKY2JGD/\u7b2c3\u7cfb/\u5c0f\u73ed\u754c.fgb"}}</t>
  </si>
  <si>
    <t>{"PARAMETERS": {"2": "'E:/G\u7a7a\u9593\u60c5\u5831\u30bb\u30f3\u30bf\u30fc/35\u5c71\u53e3\u770c/114\u8c4a\u7530\u68ee\u6797\u8a08\u753b\u533a/\u7b2c3\u7cfb/\u5c0f\u73ed\u533a\u753b.shp'", "crsjgd2000": "QgsCoordinateReferenceSystem('EPSG:2445')"}, "OUTPUTS": {"": "E:/G\u7a7a\u9593\u60c5\u5831\u30bb\u30f3\u30bf\u30fc/35\u5c71\u53e3\u770c/114\u8c4a\u7530\u68ee\u6797\u8a08\u753b\u533aTKY2JGD/\u7b2c3\u7cfb/\u5c0f\u73ed\u533a\u753b.fgb"}}</t>
  </si>
  <si>
    <t>{"PARAMETERS": {"2": "'E:/G\u7a7a\u9593\u60c5\u5831\u30bb\u30f3\u30bf\u30fc/35\u5c71\u53e3\u770c/114\u8c4a\u7530\u68ee\u6797\u8a08\u753b\u533a/\u7b2c3\u7cfb/\u6797\u9053.shp'", "crsjgd2000": "QgsCoordinateReferenceSystem('EPSG:2445')"}, "OUTPUTS": {"": "E:/G\u7a7a\u9593\u60c5\u5831\u30bb\u30f3\u30bf\u30fc/35\u5c71\u53e3\u770c/114\u8c4a\u7530\u68ee\u6797\u8a08\u753b\u533aTKY2JGD/\u7b2c3\u7cfb/\u6797\u9053.fgb"}}</t>
  </si>
  <si>
    <t>{"PARAMETERS": {"2": "'E:/G\u7a7a\u9593\u60c5\u5831\u30bb\u30f3\u30bf\u30fc/35\u5c71\u53e3\u770c/114\u8c4a\u7530\u68ee\u6797\u8a08\u753b\u533a/\u7b2c3\u7cfb/\u4f5c\u696d\u9053.shp'", "crsjgd2000": "QgsCoordinateReferenceSystem('EPSG:2445')"}, "OUTPUTS": {"": "E:/G\u7a7a\u9593\u60c5\u5831\u30bb\u30f3\u30bf\u30fc/35\u5c71\u53e3\u770c/114\u8c4a\u7530\u68ee\u6797\u8a08\u753b\u533aTKY2JGD/\u7b2c3\u7cfb/\u4f5c\u696d\u9053.fgb"}}</t>
  </si>
  <si>
    <t>{"PARAMETERS": {"2": "'E:/G\u7a7a\u9593\u60c5\u5831\u30bb\u30f3\u30bf\u30fc/35\u5c71\u53e3\u770c/114\u8c4a\u7530\u68ee\u6797\u8a08\u753b\u533a/\u7b2c3\u7cfb/\u7b49\u9ad8\u7dda10m\u9593\u9694.shp'", "crsjgd2000": "QgsCoordinateReferenceSystem('EPSG:2445')"}, "OUTPUTS": {"": "E:/G\u7a7a\u9593\u60c5\u5831\u30bb\u30f3\u30bf\u30fc/35\u5c71\u53e3\u770c/114\u8c4a\u7530\u68ee\u6797\u8a08\u753b\u533aTKY2JGD/\u7b2c3\u7cfb/\u7b49\u9ad8\u7dda10m\u9593\u9694.fgb"}}</t>
  </si>
  <si>
    <t>{"PARAMETERS": {"2": "'E:/G\u7a7a\u9593\u60c5\u5831\u30bb\u30f3\u30bf\u30fc/35\u5c71\u53e3\u770c/115\u8429\u68ee\u6797\u8a08\u753b\u533a/\u7b2c3\u7cfb/\u5883\u754c.shp'", "crsjgd2000": "QgsCoordinateReferenceSystem('EPSG:2445')"}, "OUTPUTS": {"": "E:/G\u7a7a\u9593\u60c5\u5831\u30bb\u30f3\u30bf\u30fc/35\u5c71\u53e3\u770c/115\u8429\u68ee\u6797\u8a08\u753b\u533aTKY2JGD/\u7b2c3\u7cfb/\u5883\u754c.fgb"}}</t>
  </si>
  <si>
    <t>{"PARAMETERS": {"2": "'E:/G\u7a7a\u9593\u60c5\u5831\u30bb\u30f3\u30bf\u30fc/35\u5c71\u53e3\u770c/115\u8429\u68ee\u6797\u8a08\u753b\u533a/\u7b2c3\u7cfb/\u6797\u73ed\u754c.shp'", "crsjgd2000": "QgsCoordinateReferenceSystem('EPSG:2445')"}, "OUTPUTS": {"": "E:/G\u7a7a\u9593\u60c5\u5831\u30bb\u30f3\u30bf\u30fc/35\u5c71\u53e3\u770c/115\u8429\u68ee\u6797\u8a08\u753b\u533aTKY2JGD/\u7b2c3\u7cfb/\u6797\u73ed\u754c.fgb"}}</t>
  </si>
  <si>
    <t>{"PARAMETERS": {"2": "'E:/G\u7a7a\u9593\u60c5\u5831\u30bb\u30f3\u30bf\u30fc/35\u5c71\u53e3\u770c/115\u8429\u68ee\u6797\u8a08\u753b\u533a/\u7b2c3\u7cfb/\u6797\u73ed\u533a\u753b.shp'", "crsjgd2000": "QgsCoordinateReferenceSystem('EPSG:2445')"}, "OUTPUTS": {"": "E:/G\u7a7a\u9593\u60c5\u5831\u30bb\u30f3\u30bf\u30fc/35\u5c71\u53e3\u770c/115\u8429\u68ee\u6797\u8a08\u753b\u533aTKY2JGD/\u7b2c3\u7cfb/\u6797\u73ed\u533a\u753b.fgb"}}</t>
  </si>
  <si>
    <t>{"PARAMETERS": {"2": "'E:/G\u7a7a\u9593\u60c5\u5831\u30bb\u30f3\u30bf\u30fc/35\u5c71\u53e3\u770c/115\u8429\u68ee\u6797\u8a08\u753b\u533a/\u7b2c3\u7cfb/\u5c0f\u73ed\u754c.shp'", "crsjgd2000": "QgsCoordinateReferenceSystem('EPSG:2445')"}, "OUTPUTS": {"": "E:/G\u7a7a\u9593\u60c5\u5831\u30bb\u30f3\u30bf\u30fc/35\u5c71\u53e3\u770c/115\u8429\u68ee\u6797\u8a08\u753b\u533aTKY2JGD/\u7b2c3\u7cfb/\u5c0f\u73ed\u754c.fgb"}}</t>
  </si>
  <si>
    <t>{"PARAMETERS": {"2": "'E:/G\u7a7a\u9593\u60c5\u5831\u30bb\u30f3\u30bf\u30fc/35\u5c71\u53e3\u770c/115\u8429\u68ee\u6797\u8a08\u753b\u533a/\u7b2c3\u7cfb/\u5c0f\u73ed\u533a\u753b.shp'", "crsjgd2000": "QgsCoordinateReferenceSystem('EPSG:2445')"}, "OUTPUTS": {"": "E:/G\u7a7a\u9593\u60c5\u5831\u30bb\u30f3\u30bf\u30fc/35\u5c71\u53e3\u770c/115\u8429\u68ee\u6797\u8a08\u753b\u533aTKY2JGD/\u7b2c3\u7cfb/\u5c0f\u73ed\u533a\u753b.fgb"}}</t>
  </si>
  <si>
    <t>{"PARAMETERS": {"2": "'E:/G\u7a7a\u9593\u60c5\u5831\u30bb\u30f3\u30bf\u30fc/35\u5c71\u53e3\u770c/115\u8429\u68ee\u6797\u8a08\u753b\u533a/\u7b2c3\u7cfb/\u6797\u9053.shp'", "crsjgd2000": "QgsCoordinateReferenceSystem('EPSG:2445')"}, "OUTPUTS": {"": "E:/G\u7a7a\u9593\u60c5\u5831\u30bb\u30f3\u30bf\u30fc/35\u5c71\u53e3\u770c/115\u8429\u68ee\u6797\u8a08\u753b\u533aTKY2JGD/\u7b2c3\u7cfb/\u6797\u9053.fgb"}}</t>
  </si>
  <si>
    <t>{"PARAMETERS": {"2": "'E:/G\u7a7a\u9593\u60c5\u5831\u30bb\u30f3\u30bf\u30fc/35\u5c71\u53e3\u770c/115\u8429\u68ee\u6797\u8a08\u753b\u533a/\u7b2c3\u7cfb/\u4f5c\u696d\u9053.shp'", "crsjgd2000": "QgsCoordinateReferenceSystem('EPSG:2445')"}, "OUTPUTS": {"": "E:/G\u7a7a\u9593\u60c5\u5831\u30bb\u30f3\u30bf\u30fc/35\u5c71\u53e3\u770c/115\u8429\u68ee\u6797\u8a08\u753b\u533aTKY2JGD/\u7b2c3\u7cfb/\u4f5c\u696d\u9053.fgb"}}</t>
  </si>
  <si>
    <t>{"PARAMETERS": {"2": "'E:/G\u7a7a\u9593\u60c5\u5831\u30bb\u30f3\u30bf\u30fc/35\u5c71\u53e3\u770c/115\u8429\u68ee\u6797\u8a08\u753b\u533a/\u7b2c3\u7cfb/\u7b49\u9ad8\u7dda10m\u9593\u9694.shp'", "crsjgd2000": "QgsCoordinateReferenceSystem('EPSG:2445')"}, "OUTPUTS": {"": "E:/G\u7a7a\u9593\u60c5\u5831\u30bb\u30f3\u30bf\u30fc/35\u5c71\u53e3\u770c/115\u8429\u68ee\u6797\u8a08\u753b\u533aTKY2JGD/\u7b2c3\u7cfb/\u7b49\u9ad8\u7dda10m\u9593\u9694.fgb"}}</t>
  </si>
  <si>
    <t>{"PARAMETERS": {"2": "'E:/G\u7a7a\u9593\u60c5\u5831\u30bb\u30f3\u30bf\u30fc/36\u5fb3\u5cf6\u770c/116\u5409\u91ce\u5ddd\u68ee\u6797\u8a08\u753b\u533a/\u7b2c4\u7cfb/\u5883\u754c.shp'", "crsjgd2000": "QgsCoordinateReferenceSystem('EPSG:2446')"}, "OUTPUTS": {"": "E:/G\u7a7a\u9593\u60c5\u5831\u30bb\u30f3\u30bf\u30fc/36\u5fb3\u5cf6\u770c/116\u5409\u91ce\u5ddd\u68ee\u6797\u8a08\u753b\u533aTKY2JGD/\u7b2c4\u7cfb/\u5883\u754c.fgb"}}</t>
  </si>
  <si>
    <t>{"PARAMETERS": {"2": "'E:/G\u7a7a\u9593\u60c5\u5831\u30bb\u30f3\u30bf\u30fc/36\u5fb3\u5cf6\u770c/116\u5409\u91ce\u5ddd\u68ee\u6797\u8a08\u753b\u533a/\u7b2c4\u7cfb/\u6797\u73ed\u754c.shp'", "crsjgd2000": "QgsCoordinateReferenceSystem('EPSG:2446')"}, "OUTPUTS": {"": "E:/G\u7a7a\u9593\u60c5\u5831\u30bb\u30f3\u30bf\u30fc/36\u5fb3\u5cf6\u770c/116\u5409\u91ce\u5ddd\u68ee\u6797\u8a08\u753b\u533aTKY2JGD/\u7b2c4\u7cfb/\u6797\u73ed\u754c.fgb"}}</t>
  </si>
  <si>
    <t>{"PARAMETERS": {"2": "'E:/G\u7a7a\u9593\u60c5\u5831\u30bb\u30f3\u30bf\u30fc/36\u5fb3\u5cf6\u770c/116\u5409\u91ce\u5ddd\u68ee\u6797\u8a08\u753b\u533a/\u7b2c4\u7cfb/\u6797\u73ed\u533a\u753b.shp'", "crsjgd2000": "QgsCoordinateReferenceSystem('EPSG:2446')"}, "OUTPUTS": {"": "E:/G\u7a7a\u9593\u60c5\u5831\u30bb\u30f3\u30bf\u30fc/36\u5fb3\u5cf6\u770c/116\u5409\u91ce\u5ddd\u68ee\u6797\u8a08\u753b\u533aTKY2JGD/\u7b2c4\u7cfb/\u6797\u73ed\u533a\u753b.fgb"}}</t>
  </si>
  <si>
    <t>{"PARAMETERS": {"2": "'E:/G\u7a7a\u9593\u60c5\u5831\u30bb\u30f3\u30bf\u30fc/36\u5fb3\u5cf6\u770c/116\u5409\u91ce\u5ddd\u68ee\u6797\u8a08\u753b\u533a/\u7b2c4\u7cfb/\u5c0f\u73ed\u754c.shp'", "crsjgd2000": "QgsCoordinateReferenceSystem('EPSG:2446')"}, "OUTPUTS": {"": "E:/G\u7a7a\u9593\u60c5\u5831\u30bb\u30f3\u30bf\u30fc/36\u5fb3\u5cf6\u770c/116\u5409\u91ce\u5ddd\u68ee\u6797\u8a08\u753b\u533aTKY2JGD/\u7b2c4\u7cfb/\u5c0f\u73ed\u754c.fgb"}}</t>
  </si>
  <si>
    <t>{"PARAMETERS": {"2": "'E:/G\u7a7a\u9593\u60c5\u5831\u30bb\u30f3\u30bf\u30fc/36\u5fb3\u5cf6\u770c/116\u5409\u91ce\u5ddd\u68ee\u6797\u8a08\u753b\u533a/\u7b2c4\u7cfb/\u5c0f\u73ed\u533a\u753b.shp'", "crsjgd2000": "QgsCoordinateReferenceSystem('EPSG:2446')"}, "OUTPUTS": {"": "E:/G\u7a7a\u9593\u60c5\u5831\u30bb\u30f3\u30bf\u30fc/36\u5fb3\u5cf6\u770c/116\u5409\u91ce\u5ddd\u68ee\u6797\u8a08\u753b\u533aTKY2JGD/\u7b2c4\u7cfb/\u5c0f\u73ed\u533a\u753b.fgb"}}</t>
  </si>
  <si>
    <t>{"PARAMETERS": {"2": "'E:/G\u7a7a\u9593\u60c5\u5831\u30bb\u30f3\u30bf\u30fc/36\u5fb3\u5cf6\u770c/116\u5409\u91ce\u5ddd\u68ee\u6797\u8a08\u753b\u533a/\u7b2c4\u7cfb/\u6797\u9053.shp'", "crsjgd2000": "QgsCoordinateReferenceSystem('EPSG:2446')"}, "OUTPUTS": {"": "E:/G\u7a7a\u9593\u60c5\u5831\u30bb\u30f3\u30bf\u30fc/36\u5fb3\u5cf6\u770c/116\u5409\u91ce\u5ddd\u68ee\u6797\u8a08\u753b\u533aTKY2JGD/\u7b2c4\u7cfb/\u6797\u9053.fgb"}}</t>
  </si>
  <si>
    <t>{"PARAMETERS": {"2": "'E:/G\u7a7a\u9593\u60c5\u5831\u30bb\u30f3\u30bf\u30fc/36\u5fb3\u5cf6\u770c/116\u5409\u91ce\u5ddd\u68ee\u6797\u8a08\u753b\u533a/\u7b2c4\u7cfb/\u4f5c\u696d\u9053.shp'", "crsjgd2000": "QgsCoordinateReferenceSystem('EPSG:2446')"}, "OUTPUTS": {"": "E:/G\u7a7a\u9593\u60c5\u5831\u30bb\u30f3\u30bf\u30fc/36\u5fb3\u5cf6\u770c/116\u5409\u91ce\u5ddd\u68ee\u6797\u8a08\u753b\u533aTKY2JGD/\u7b2c4\u7cfb/\u4f5c\u696d\u9053.fgb"}}</t>
  </si>
  <si>
    <t>{"PARAMETERS": {"2": "'E:/G\u7a7a\u9593\u60c5\u5831\u30bb\u30f3\u30bf\u30fc/36\u5fb3\u5cf6\u770c/116\u5409\u91ce\u5ddd\u68ee\u6797\u8a08\u753b\u533a/\u7b2c4\u7cfb/\u7b49\u9ad8\u7dda10m\u9593\u9694.shp'", "crsjgd2000": "QgsCoordinateReferenceSystem('EPSG:2446')"}, "OUTPUTS": {"": "E:/G\u7a7a\u9593\u60c5\u5831\u30bb\u30f3\u30bf\u30fc/36\u5fb3\u5cf6\u770c/116\u5409\u91ce\u5ddd\u68ee\u6797\u8a08\u753b\u533aTKY2JGD/\u7b2c4\u7cfb/\u7b49\u9ad8\u7dda10m\u9593\u9694.fgb"}}</t>
  </si>
  <si>
    <t>{"PARAMETERS": {"2": "'E:/G\u7a7a\u9593\u60c5\u5831\u30bb\u30f3\u30bf\u30fc/36\u5fb3\u5cf6\u770c/117\u90a3\u8cc0\u30fb\u6d77\u90e8\u5ddd\u68ee\u6797\u8a08\u753b\u533a/\u7b2c4\u7cfb/\u5883\u754c.shp'", "crsjgd2000": "QgsCoordinateReferenceSystem('EPSG:2446')"}, "OUTPUTS": {"": "E:/G\u7a7a\u9593\u60c5\u5831\u30bb\u30f3\u30bf\u30fc/36\u5fb3\u5cf6\u770c/117\u90a3\u8cc0\u30fb\u6d77\u90e8\u5ddd\u68ee\u6797\u8a08\u753b\u533aTKY2JGD/\u7b2c4\u7cfb/\u5883\u754c.fgb"}}</t>
  </si>
  <si>
    <t>{"PARAMETERS": {"2": "'E:/G\u7a7a\u9593\u60c5\u5831\u30bb\u30f3\u30bf\u30fc/36\u5fb3\u5cf6\u770c/117\u90a3\u8cc0\u30fb\u6d77\u90e8\u5ddd\u68ee\u6797\u8a08\u753b\u533a/\u7b2c4\u7cfb/\u6797\u73ed\u754c.shp'", "crsjgd2000": "QgsCoordinateReferenceSystem('EPSG:2446')"}, "OUTPUTS": {"": "E:/G\u7a7a\u9593\u60c5\u5831\u30bb\u30f3\u30bf\u30fc/36\u5fb3\u5cf6\u770c/117\u90a3\u8cc0\u30fb\u6d77\u90e8\u5ddd\u68ee\u6797\u8a08\u753b\u533aTKY2JGD/\u7b2c4\u7cfb/\u6797\u73ed\u754c.fgb"}}</t>
  </si>
  <si>
    <t>{"PARAMETERS": {"2": "'E:/G\u7a7a\u9593\u60c5\u5831\u30bb\u30f3\u30bf\u30fc/36\u5fb3\u5cf6\u770c/117\u90a3\u8cc0\u30fb\u6d77\u90e8\u5ddd\u68ee\u6797\u8a08\u753b\u533a/\u7b2c4\u7cfb/\u6797\u73ed\u533a\u753b.shp'", "crsjgd2000": "QgsCoordinateReferenceSystem('EPSG:2446')"}, "OUTPUTS": {"": "E:/G\u7a7a\u9593\u60c5\u5831\u30bb\u30f3\u30bf\u30fc/36\u5fb3\u5cf6\u770c/117\u90a3\u8cc0\u30fb\u6d77\u90e8\u5ddd\u68ee\u6797\u8a08\u753b\u533aTKY2JGD/\u7b2c4\u7cfb/\u6797\u73ed\u533a\u753b.fgb"}}</t>
  </si>
  <si>
    <t>{"PARAMETERS": {"2": "'E:/G\u7a7a\u9593\u60c5\u5831\u30bb\u30f3\u30bf\u30fc/36\u5fb3\u5cf6\u770c/117\u90a3\u8cc0\u30fb\u6d77\u90e8\u5ddd\u68ee\u6797\u8a08\u753b\u533a/\u7b2c4\u7cfb/\u5c0f\u73ed\u754c.shp'", "crsjgd2000": "QgsCoordinateReferenceSystem('EPSG:2446')"}, "OUTPUTS": {"": "E:/G\u7a7a\u9593\u60c5\u5831\u30bb\u30f3\u30bf\u30fc/36\u5fb3\u5cf6\u770c/117\u90a3\u8cc0\u30fb\u6d77\u90e8\u5ddd\u68ee\u6797\u8a08\u753b\u533aTKY2JGD/\u7b2c4\u7cfb/\u5c0f\u73ed\u754c.fgb"}}</t>
  </si>
  <si>
    <t>{"PARAMETERS": {"2": "'E:/G\u7a7a\u9593\u60c5\u5831\u30bb\u30f3\u30bf\u30fc/36\u5fb3\u5cf6\u770c/117\u90a3\u8cc0\u30fb\u6d77\u90e8\u5ddd\u68ee\u6797\u8a08\u753b\u533a/\u7b2c4\u7cfb/\u5c0f\u73ed\u533a\u753b.shp'", "crsjgd2000": "QgsCoordinateReferenceSystem('EPSG:2446')"}, "OUTPUTS": {"": "E:/G\u7a7a\u9593\u60c5\u5831\u30bb\u30f3\u30bf\u30fc/36\u5fb3\u5cf6\u770c/117\u90a3\u8cc0\u30fb\u6d77\u90e8\u5ddd\u68ee\u6797\u8a08\u753b\u533aTKY2JGD/\u7b2c4\u7cfb/\u5c0f\u73ed\u533a\u753b.fgb"}}</t>
  </si>
  <si>
    <t>{"PARAMETERS": {"2": "'E:/G\u7a7a\u9593\u60c5\u5831\u30bb\u30f3\u30bf\u30fc/36\u5fb3\u5cf6\u770c/117\u90a3\u8cc0\u30fb\u6d77\u90e8\u5ddd\u68ee\u6797\u8a08\u753b\u533a/\u7b2c4\u7cfb/\u6797\u9053.shp'", "crsjgd2000": "QgsCoordinateReferenceSystem('EPSG:2446')"}, "OUTPUTS": {"": "E:/G\u7a7a\u9593\u60c5\u5831\u30bb\u30f3\u30bf\u30fc/36\u5fb3\u5cf6\u770c/117\u90a3\u8cc0\u30fb\u6d77\u90e8\u5ddd\u68ee\u6797\u8a08\u753b\u533aTKY2JGD/\u7b2c4\u7cfb/\u6797\u9053.fgb"}}</t>
  </si>
  <si>
    <t>{"PARAMETERS": {"2": "'E:/G\u7a7a\u9593\u60c5\u5831\u30bb\u30f3\u30bf\u30fc/36\u5fb3\u5cf6\u770c/117\u90a3\u8cc0\u30fb\u6d77\u90e8\u5ddd\u68ee\u6797\u8a08\u753b\u533a/\u7b2c4\u7cfb/\u4f5c\u696d\u9053.shp'", "crsjgd2000": "QgsCoordinateReferenceSystem('EPSG:2446')"}, "OUTPUTS": {"": "E:/G\u7a7a\u9593\u60c5\u5831\u30bb\u30f3\u30bf\u30fc/36\u5fb3\u5cf6\u770c/117\u90a3\u8cc0\u30fb\u6d77\u90e8\u5ddd\u68ee\u6797\u8a08\u753b\u533aTKY2JGD/\u7b2c4\u7cfb/\u4f5c\u696d\u9053.fgb"}}</t>
  </si>
  <si>
    <t>{"PARAMETERS": {"2": "'E:/G\u7a7a\u9593\u60c5\u5831\u30bb\u30f3\u30bf\u30fc/36\u5fb3\u5cf6\u770c/117\u90a3\u8cc0\u30fb\u6d77\u90e8\u5ddd\u68ee\u6797\u8a08\u753b\u533a/\u7b2c4\u7cfb/\u7b49\u9ad8\u7dda10m\u9593\u9694.shp'", "crsjgd2000": "QgsCoordinateReferenceSystem('EPSG:2446')"}, "OUTPUTS": {"": "E:/G\u7a7a\u9593\u60c5\u5831\u30bb\u30f3\u30bf\u30fc/36\u5fb3\u5cf6\u770c/117\u90a3\u8cc0\u30fb\u6d77\u90e8\u5ddd\u68ee\u6797\u8a08\u753b\u533aTKY2JGD/\u7b2c4\u7cfb/\u7b49\u9ad8\u7dda10m\u9593\u9694.fgb"}}</t>
  </si>
  <si>
    <t>{"PARAMETERS": {"2": "'E:/G\u7a7a\u9593\u60c5\u5831\u30bb\u30f3\u30bf\u30fc/37\u9999\u5ddd\u770c/118\u9999\u5ddd\u68ee\u6797\u8a08\u753b\u533a/\u7b2c4\u7cfb/\u5883\u754c.shp'", "crsjgd2000": "QgsCoordinateReferenceSystem('EPSG:2446')"}, "OUTPUTS": {"": "E:/G\u7a7a\u9593\u60c5\u5831\u30bb\u30f3\u30bf\u30fc/37\u9999\u5ddd\u770c/118\u9999\u5ddd\u68ee\u6797\u8a08\u753b\u533aTKY2JGD/\u7b2c4\u7cfb/\u5883\u754c.fgb"}}</t>
  </si>
  <si>
    <t>{"PARAMETERS": {"2": "'E:/G\u7a7a\u9593\u60c5\u5831\u30bb\u30f3\u30bf\u30fc/37\u9999\u5ddd\u770c/118\u9999\u5ddd\u68ee\u6797\u8a08\u753b\u533a/\u7b2c4\u7cfb/\u6797\u73ed\u754c.shp'", "crsjgd2000": "QgsCoordinateReferenceSystem('EPSG:2446')"}, "OUTPUTS": {"": "E:/G\u7a7a\u9593\u60c5\u5831\u30bb\u30f3\u30bf\u30fc/37\u9999\u5ddd\u770c/118\u9999\u5ddd\u68ee\u6797\u8a08\u753b\u533aTKY2JGD/\u7b2c4\u7cfb/\u6797\u73ed\u754c.fgb"}}</t>
  </si>
  <si>
    <t>{"PARAMETERS": {"2": "'E:/G\u7a7a\u9593\u60c5\u5831\u30bb\u30f3\u30bf\u30fc/37\u9999\u5ddd\u770c/118\u9999\u5ddd\u68ee\u6797\u8a08\u753b\u533a/\u7b2c4\u7cfb/\u6797\u73ed\u533a\u753b.shp'", "crsjgd2000": "QgsCoordinateReferenceSystem('EPSG:2446')"}, "OUTPUTS": {"": "E:/G\u7a7a\u9593\u60c5\u5831\u30bb\u30f3\u30bf\u30fc/37\u9999\u5ddd\u770c/118\u9999\u5ddd\u68ee\u6797\u8a08\u753b\u533aTKY2JGD/\u7b2c4\u7cfb/\u6797\u73ed\u533a\u753b.fgb"}}</t>
  </si>
  <si>
    <t>{"PARAMETERS": {"2": "'E:/G\u7a7a\u9593\u60c5\u5831\u30bb\u30f3\u30bf\u30fc/37\u9999\u5ddd\u770c/118\u9999\u5ddd\u68ee\u6797\u8a08\u753b\u533a/\u7b2c4\u7cfb/\u5c0f\u73ed\u754c.shp'", "crsjgd2000": "QgsCoordinateReferenceSystem('EPSG:2446')"}, "OUTPUTS": {"": "E:/G\u7a7a\u9593\u60c5\u5831\u30bb\u30f3\u30bf\u30fc/37\u9999\u5ddd\u770c/118\u9999\u5ddd\u68ee\u6797\u8a08\u753b\u533aTKY2JGD/\u7b2c4\u7cfb/\u5c0f\u73ed\u754c.fgb"}}</t>
  </si>
  <si>
    <t>{"PARAMETERS": {"2": "'E:/G\u7a7a\u9593\u60c5\u5831\u30bb\u30f3\u30bf\u30fc/37\u9999\u5ddd\u770c/118\u9999\u5ddd\u68ee\u6797\u8a08\u753b\u533a/\u7b2c4\u7cfb/\u5c0f\u73ed\u533a\u753b.shp'", "crsjgd2000": "QgsCoordinateReferenceSystem('EPSG:2446')"}, "OUTPUTS": {"": "E:/G\u7a7a\u9593\u60c5\u5831\u30bb\u30f3\u30bf\u30fc/37\u9999\u5ddd\u770c/118\u9999\u5ddd\u68ee\u6797\u8a08\u753b\u533aTKY2JGD/\u7b2c4\u7cfb/\u5c0f\u73ed\u533a\u753b.fgb"}}</t>
  </si>
  <si>
    <t>{"PARAMETERS": {"2": "'E:/G\u7a7a\u9593\u60c5\u5831\u30bb\u30f3\u30bf\u30fc/37\u9999\u5ddd\u770c/118\u9999\u5ddd\u68ee\u6797\u8a08\u753b\u533a/\u7b2c4\u7cfb/\u6797\u9053.shp'", "crsjgd2000": "QgsCoordinateReferenceSystem('EPSG:2446')"}, "OUTPUTS": {"": "E:/G\u7a7a\u9593\u60c5\u5831\u30bb\u30f3\u30bf\u30fc/37\u9999\u5ddd\u770c/118\u9999\u5ddd\u68ee\u6797\u8a08\u753b\u533aTKY2JGD/\u7b2c4\u7cfb/\u6797\u9053.fgb"}}</t>
  </si>
  <si>
    <t>{"PARAMETERS": {"2": "'E:/G\u7a7a\u9593\u60c5\u5831\u30bb\u30f3\u30bf\u30fc/37\u9999\u5ddd\u770c/118\u9999\u5ddd\u68ee\u6797\u8a08\u753b\u533a/\u7b2c4\u7cfb/\u4f5c\u696d\u9053.shp'", "crsjgd2000": "QgsCoordinateReferenceSystem('EPSG:2446')"}, "OUTPUTS": {"": "E:/G\u7a7a\u9593\u60c5\u5831\u30bb\u30f3\u30bf\u30fc/37\u9999\u5ddd\u770c/118\u9999\u5ddd\u68ee\u6797\u8a08\u753b\u533aTKY2JGD/\u7b2c4\u7cfb/\u4f5c\u696d\u9053.fgb"}}</t>
  </si>
  <si>
    <t>{"PARAMETERS": {"2": "'E:/G\u7a7a\u9593\u60c5\u5831\u30bb\u30f3\u30bf\u30fc/37\u9999\u5ddd\u770c/118\u9999\u5ddd\u68ee\u6797\u8a08\u753b\u533a/\u7b2c4\u7cfb/\u7b49\u9ad8\u7dda10m\u9593\u9694.shp'", "crsjgd2000": "QgsCoordinateReferenceSystem('EPSG:2446')"}, "OUTPUTS": {"": "E:/G\u7a7a\u9593\u60c5\u5831\u30bb\u30f3\u30bf\u30fc/37\u9999\u5ddd\u770c/118\u9999\u5ddd\u68ee\u6797\u8a08\u753b\u533aTKY2JGD/\u7b2c4\u7cfb/\u7b49\u9ad8\u7dda10m\u9593\u9694.fgb"}}</t>
  </si>
  <si>
    <t>{"PARAMETERS": {"2": "'E:/G\u7a7a\u9593\u60c5\u5831\u30bb\u30f3\u30bf\u30fc/38\u611b\u5a9b\u770c/119\u4eca\u6cbb\u677e\u5c71\u68ee\u6797\u8a08\u753b\u533a/\u7b2c4\u7cfb/\u5883\u754c.shp'", "crsjgd2000": "QgsCoordinateReferenceSystem('EPSG:2446')"}, "OUTPUTS": {"": "E:/G\u7a7a\u9593\u60c5\u5831\u30bb\u30f3\u30bf\u30fc/38\u611b\u5a9b\u770c/119\u4eca\u6cbb\u677e\u5c71\u68ee\u6797\u8a08\u753b\u533aTKY2JGD/\u7b2c4\u7cfb/\u5883\u754c.fgb"}}</t>
  </si>
  <si>
    <t>{"PARAMETERS": {"2": "'E:/G\u7a7a\u9593\u60c5\u5831\u30bb\u30f3\u30bf\u30fc/38\u611b\u5a9b\u770c/119\u4eca\u6cbb\u677e\u5c71\u68ee\u6797\u8a08\u753b\u533a/\u7b2c4\u7cfb/\u6797\u73ed\u754c.shp'", "crsjgd2000": "QgsCoordinateReferenceSystem('EPSG:2446')"}, "OUTPUTS": {"": "E:/G\u7a7a\u9593\u60c5\u5831\u30bb\u30f3\u30bf\u30fc/38\u611b\u5a9b\u770c/119\u4eca\u6cbb\u677e\u5c71\u68ee\u6797\u8a08\u753b\u533aTKY2JGD/\u7b2c4\u7cfb/\u6797\u73ed\u754c.fgb"}}</t>
  </si>
  <si>
    <t>{"PARAMETERS": {"2": "'E:/G\u7a7a\u9593\u60c5\u5831\u30bb\u30f3\u30bf\u30fc/38\u611b\u5a9b\u770c/119\u4eca\u6cbb\u677e\u5c71\u68ee\u6797\u8a08\u753b\u533a/\u7b2c4\u7cfb/\u6797\u73ed\u533a\u753b.shp'", "crsjgd2000": "QgsCoordinateReferenceSystem('EPSG:2446')"}, "OUTPUTS": {"": "E:/G\u7a7a\u9593\u60c5\u5831\u30bb\u30f3\u30bf\u30fc/38\u611b\u5a9b\u770c/119\u4eca\u6cbb\u677e\u5c71\u68ee\u6797\u8a08\u753b\u533aTKY2JGD/\u7b2c4\u7cfb/\u6797\u73ed\u533a\u753b.fgb"}}</t>
  </si>
  <si>
    <t>{"PARAMETERS": {"2": "'E:/G\u7a7a\u9593\u60c5\u5831\u30bb\u30f3\u30bf\u30fc/38\u611b\u5a9b\u770c/119\u4eca\u6cbb\u677e\u5c71\u68ee\u6797\u8a08\u753b\u533a/\u7b2c4\u7cfb/\u5c0f\u73ed\u754c.shp'", "crsjgd2000": "QgsCoordinateReferenceSystem('EPSG:2446')"}, "OUTPUTS": {"": "E:/G\u7a7a\u9593\u60c5\u5831\u30bb\u30f3\u30bf\u30fc/38\u611b\u5a9b\u770c/119\u4eca\u6cbb\u677e\u5c71\u68ee\u6797\u8a08\u753b\u533aTKY2JGD/\u7b2c4\u7cfb/\u5c0f\u73ed\u754c.fgb"}}</t>
  </si>
  <si>
    <t>{"PARAMETERS": {"2": "'E:/G\u7a7a\u9593\u60c5\u5831\u30bb\u30f3\u30bf\u30fc/38\u611b\u5a9b\u770c/119\u4eca\u6cbb\u677e\u5c71\u68ee\u6797\u8a08\u753b\u533a/\u7b2c4\u7cfb/\u5c0f\u73ed\u533a\u753b.shp'", "crsjgd2000": "QgsCoordinateReferenceSystem('EPSG:2446')"}, "OUTPUTS": {"": "E:/G\u7a7a\u9593\u60c5\u5831\u30bb\u30f3\u30bf\u30fc/38\u611b\u5a9b\u770c/119\u4eca\u6cbb\u677e\u5c71\u68ee\u6797\u8a08\u753b\u533aTKY2JGD/\u7b2c4\u7cfb/\u5c0f\u73ed\u533a\u753b.fgb"}}</t>
  </si>
  <si>
    <t>{"PARAMETERS": {"2": "'E:/G\u7a7a\u9593\u60c5\u5831\u30bb\u30f3\u30bf\u30fc/38\u611b\u5a9b\u770c/119\u4eca\u6cbb\u677e\u5c71\u68ee\u6797\u8a08\u753b\u533a/\u7b2c4\u7cfb/\u6797\u9053.shp'", "crsjgd2000": "QgsCoordinateReferenceSystem('EPSG:2446')"}, "OUTPUTS": {"": "E:/G\u7a7a\u9593\u60c5\u5831\u30bb\u30f3\u30bf\u30fc/38\u611b\u5a9b\u770c/119\u4eca\u6cbb\u677e\u5c71\u68ee\u6797\u8a08\u753b\u533aTKY2JGD/\u7b2c4\u7cfb/\u6797\u9053.fgb"}}</t>
  </si>
  <si>
    <t>{"PARAMETERS": {"2": "'E:/G\u7a7a\u9593\u60c5\u5831\u30bb\u30f3\u30bf\u30fc/38\u611b\u5a9b\u770c/119\u4eca\u6cbb\u677e\u5c71\u68ee\u6797\u8a08\u753b\u533a/\u7b2c4\u7cfb/\u4f5c\u696d\u9053.shp'", "crsjgd2000": "QgsCoordinateReferenceSystem('EPSG:2446')"}, "OUTPUTS": {"": "E:/G\u7a7a\u9593\u60c5\u5831\u30bb\u30f3\u30bf\u30fc/38\u611b\u5a9b\u770c/119\u4eca\u6cbb\u677e\u5c71\u68ee\u6797\u8a08\u753b\u533aTKY2JGD/\u7b2c4\u7cfb/\u4f5c\u696d\u9053.fgb"}}</t>
  </si>
  <si>
    <t>{"PARAMETERS": {"2": "'E:/G\u7a7a\u9593\u60c5\u5831\u30bb\u30f3\u30bf\u30fc/38\u611b\u5a9b\u770c/119\u4eca\u6cbb\u677e\u5c71\u68ee\u6797\u8a08\u753b\u533a/\u7b2c4\u7cfb/\u7b49\u9ad8\u7dda10m\u9593\u9694.shp'", "crsjgd2000": "QgsCoordinateReferenceSystem('EPSG:2446')"}, "OUTPUTS": {"": "E:/G\u7a7a\u9593\u60c5\u5831\u30bb\u30f3\u30bf\u30fc/38\u611b\u5a9b\u770c/119\u4eca\u6cbb\u677e\u5c71\u68ee\u6797\u8a08\u753b\u533aTKY2JGD/\u7b2c4\u7cfb/\u7b49\u9ad8\u7dda10m\u9593\u9694.fgb"}}</t>
  </si>
  <si>
    <t>{"PARAMETERS": {"2": "'E:/G\u7a7a\u9593\u60c5\u5831\u30bb\u30f3\u30bf\u30fc/38\u611b\u5a9b\u770c/120\u6771\u4e88\u68ee\u6797\u8a08\u753b\u533a/\u7b2c4\u7cfb/\u5883\u754c.shp'", "crsjgd2000": "QgsCoordinateReferenceSystem('EPSG:2446')"}, "OUTPUTS": {"": "E:/G\u7a7a\u9593\u60c5\u5831\u30bb\u30f3\u30bf\u30fc/38\u611b\u5a9b\u770c/120\u6771\u4e88\u68ee\u6797\u8a08\u753b\u533aTKY2JGD/\u7b2c4\u7cfb/\u5883\u754c.fgb"}}</t>
  </si>
  <si>
    <t>{"PARAMETERS": {"2": "'E:/G\u7a7a\u9593\u60c5\u5831\u30bb\u30f3\u30bf\u30fc/38\u611b\u5a9b\u770c/120\u6771\u4e88\u68ee\u6797\u8a08\u753b\u533a/\u7b2c4\u7cfb/\u6797\u73ed\u754c.shp'", "crsjgd2000": "QgsCoordinateReferenceSystem('EPSG:2446')"}, "OUTPUTS": {"": "E:/G\u7a7a\u9593\u60c5\u5831\u30bb\u30f3\u30bf\u30fc/38\u611b\u5a9b\u770c/120\u6771\u4e88\u68ee\u6797\u8a08\u753b\u533aTKY2JGD/\u7b2c4\u7cfb/\u6797\u73ed\u754c.fgb"}}</t>
  </si>
  <si>
    <t>{"PARAMETERS": {"2": "'E:/G\u7a7a\u9593\u60c5\u5831\u30bb\u30f3\u30bf\u30fc/38\u611b\u5a9b\u770c/120\u6771\u4e88\u68ee\u6797\u8a08\u753b\u533a/\u7b2c4\u7cfb/\u6797\u73ed\u533a\u753b.shp'", "crsjgd2000": "QgsCoordinateReferenceSystem('EPSG:2446')"}, "OUTPUTS": {"": "E:/G\u7a7a\u9593\u60c5\u5831\u30bb\u30f3\u30bf\u30fc/38\u611b\u5a9b\u770c/120\u6771\u4e88\u68ee\u6797\u8a08\u753b\u533aTKY2JGD/\u7b2c4\u7cfb/\u6797\u73ed\u533a\u753b.fgb"}}</t>
  </si>
  <si>
    <t>{"PARAMETERS": {"2": "'E:/G\u7a7a\u9593\u60c5\u5831\u30bb\u30f3\u30bf\u30fc/38\u611b\u5a9b\u770c/120\u6771\u4e88\u68ee\u6797\u8a08\u753b\u533a/\u7b2c4\u7cfb/\u5c0f\u73ed\u754c.shp'", "crsjgd2000": "QgsCoordinateReferenceSystem('EPSG:2446')"}, "OUTPUTS": {"": "E:/G\u7a7a\u9593\u60c5\u5831\u30bb\u30f3\u30bf\u30fc/38\u611b\u5a9b\u770c/120\u6771\u4e88\u68ee\u6797\u8a08\u753b\u533aTKY2JGD/\u7b2c4\u7cfb/\u5c0f\u73ed\u754c.fgb"}}</t>
  </si>
  <si>
    <t>{"PARAMETERS": {"2": "'E:/G\u7a7a\u9593\u60c5\u5831\u30bb\u30f3\u30bf\u30fc/38\u611b\u5a9b\u770c/120\u6771\u4e88\u68ee\u6797\u8a08\u753b\u533a/\u7b2c4\u7cfb/\u5c0f\u73ed\u533a\u753b.shp'", "crsjgd2000": "QgsCoordinateReferenceSystem('EPSG:2446')"}, "OUTPUTS": {"": "E:/G\u7a7a\u9593\u60c5\u5831\u30bb\u30f3\u30bf\u30fc/38\u611b\u5a9b\u770c/120\u6771\u4e88\u68ee\u6797\u8a08\u753b\u533aTKY2JGD/\u7b2c4\u7cfb/\u5c0f\u73ed\u533a\u753b.fgb"}}</t>
  </si>
  <si>
    <t>{"PARAMETERS": {"2": "'E:/G\u7a7a\u9593\u60c5\u5831\u30bb\u30f3\u30bf\u30fc/38\u611b\u5a9b\u770c/120\u6771\u4e88\u68ee\u6797\u8a08\u753b\u533a/\u7b2c4\u7cfb/\u6797\u9053.shp'", "crsjgd2000": "QgsCoordinateReferenceSystem('EPSG:2446')"}, "OUTPUTS": {"": "E:/G\u7a7a\u9593\u60c5\u5831\u30bb\u30f3\u30bf\u30fc/38\u611b\u5a9b\u770c/120\u6771\u4e88\u68ee\u6797\u8a08\u753b\u533aTKY2JGD/\u7b2c4\u7cfb/\u6797\u9053.fgb"}}</t>
  </si>
  <si>
    <t>{"PARAMETERS": {"2": "'E:/G\u7a7a\u9593\u60c5\u5831\u30bb\u30f3\u30bf\u30fc/38\u611b\u5a9b\u770c/120\u6771\u4e88\u68ee\u6797\u8a08\u753b\u533a/\u7b2c4\u7cfb/\u4f5c\u696d\u9053.shp'", "crsjgd2000": "QgsCoordinateReferenceSystem('EPSG:2446')"}, "OUTPUTS": {"": "E:/G\u7a7a\u9593\u60c5\u5831\u30bb\u30f3\u30bf\u30fc/38\u611b\u5a9b\u770c/120\u6771\u4e88\u68ee\u6797\u8a08\u753b\u533aTKY2JGD/\u7b2c4\u7cfb/\u4f5c\u696d\u9053.fgb"}}</t>
  </si>
  <si>
    <t>{"PARAMETERS": {"2": "'E:/G\u7a7a\u9593\u60c5\u5831\u30bb\u30f3\u30bf\u30fc/38\u611b\u5a9b\u770c/120\u6771\u4e88\u68ee\u6797\u8a08\u753b\u533a/\u7b2c4\u7cfb/\u7b49\u9ad8\u7dda10m\u9593\u9694.shp'", "crsjgd2000": "QgsCoordinateReferenceSystem('EPSG:2446')"}, "OUTPUTS": {"": "E:/G\u7a7a\u9593\u60c5\u5831\u30bb\u30f3\u30bf\u30fc/38\u611b\u5a9b\u770c/120\u6771\u4e88\u68ee\u6797\u8a08\u753b\u533aTKY2JGD/\u7b2c4\u7cfb/\u7b49\u9ad8\u7dda10m\u9593\u9694.fgb"}}</t>
  </si>
  <si>
    <t>{"PARAMETERS": {"2": "'E:/G\u7a7a\u9593\u60c5\u5831\u30bb\u30f3\u30bf\u30fc/38\u611b\u5a9b\u770c/121\u80b1\u5ddd\u68ee\u6797\u8a08\u753b\u533a/\u7b2c4\u7cfb/\u5883\u754c.shp'", "crsjgd2000": "QgsCoordinateReferenceSystem('EPSG:2446')"}, "OUTPUTS": {"": "E:/G\u7a7a\u9593\u60c5\u5831\u30bb\u30f3\u30bf\u30fc/38\u611b\u5a9b\u770c/121\u80b1\u5ddd\u68ee\u6797\u8a08\u753b\u533aTKY2JGD/\u7b2c4\u7cfb/\u5883\u754c.fgb"}}</t>
  </si>
  <si>
    <t>{"PARAMETERS": {"2": "'E:/G\u7a7a\u9593\u60c5\u5831\u30bb\u30f3\u30bf\u30fc/38\u611b\u5a9b\u770c/121\u80b1\u5ddd\u68ee\u6797\u8a08\u753b\u533a/\u7b2c4\u7cfb/\u6797\u73ed\u754c.shp'", "crsjgd2000": "QgsCoordinateReferenceSystem('EPSG:2446')"}, "OUTPUTS": {"": "E:/G\u7a7a\u9593\u60c5\u5831\u30bb\u30f3\u30bf\u30fc/38\u611b\u5a9b\u770c/121\u80b1\u5ddd\u68ee\u6797\u8a08\u753b\u533aTKY2JGD/\u7b2c4\u7cfb/\u6797\u73ed\u754c.fgb"}}</t>
  </si>
  <si>
    <t>{"PARAMETERS": {"2": "'E:/G\u7a7a\u9593\u60c5\u5831\u30bb\u30f3\u30bf\u30fc/38\u611b\u5a9b\u770c/121\u80b1\u5ddd\u68ee\u6797\u8a08\u753b\u533a/\u7b2c4\u7cfb/\u6797\u73ed\u533a\u753b.shp'", "crsjgd2000": "QgsCoordinateReferenceSystem('EPSG:2446')"}, "OUTPUTS": {"": "E:/G\u7a7a\u9593\u60c5\u5831\u30bb\u30f3\u30bf\u30fc/38\u611b\u5a9b\u770c/121\u80b1\u5ddd\u68ee\u6797\u8a08\u753b\u533aTKY2JGD/\u7b2c4\u7cfb/\u6797\u73ed\u533a\u753b.fgb"}}</t>
  </si>
  <si>
    <t>{"PARAMETERS": {"2": "'E:/G\u7a7a\u9593\u60c5\u5831\u30bb\u30f3\u30bf\u30fc/38\u611b\u5a9b\u770c/121\u80b1\u5ddd\u68ee\u6797\u8a08\u753b\u533a/\u7b2c4\u7cfb/\u5c0f\u73ed\u754c.shp'", "crsjgd2000": "QgsCoordinateReferenceSystem('EPSG:2446')"}, "OUTPUTS": {"": "E:/G\u7a7a\u9593\u60c5\u5831\u30bb\u30f3\u30bf\u30fc/38\u611b\u5a9b\u770c/121\u80b1\u5ddd\u68ee\u6797\u8a08\u753b\u533aTKY2JGD/\u7b2c4\u7cfb/\u5c0f\u73ed\u754c.fgb"}}</t>
  </si>
  <si>
    <t>{"PARAMETERS": {"2": "'E:/G\u7a7a\u9593\u60c5\u5831\u30bb\u30f3\u30bf\u30fc/38\u611b\u5a9b\u770c/121\u80b1\u5ddd\u68ee\u6797\u8a08\u753b\u533a/\u7b2c4\u7cfb/\u5c0f\u73ed\u533a\u753b.shp'", "crsjgd2000": "QgsCoordinateReferenceSystem('EPSG:2446')"}, "OUTPUTS": {"": "E:/G\u7a7a\u9593\u60c5\u5831\u30bb\u30f3\u30bf\u30fc/38\u611b\u5a9b\u770c/121\u80b1\u5ddd\u68ee\u6797\u8a08\u753b\u533aTKY2JGD/\u7b2c4\u7cfb/\u5c0f\u73ed\u533a\u753b.fgb"}}</t>
  </si>
  <si>
    <t>{"PARAMETERS": {"2": "'E:/G\u7a7a\u9593\u60c5\u5831\u30bb\u30f3\u30bf\u30fc/38\u611b\u5a9b\u770c/121\u80b1\u5ddd\u68ee\u6797\u8a08\u753b\u533a/\u7b2c4\u7cfb/\u6797\u9053.shp'", "crsjgd2000": "QgsCoordinateReferenceSystem('EPSG:2446')"}, "OUTPUTS": {"": "E:/G\u7a7a\u9593\u60c5\u5831\u30bb\u30f3\u30bf\u30fc/38\u611b\u5a9b\u770c/121\u80b1\u5ddd\u68ee\u6797\u8a08\u753b\u533aTKY2JGD/\u7b2c4\u7cfb/\u6797\u9053.fgb"}}</t>
  </si>
  <si>
    <t>{"PARAMETERS": {"2": "'E:/G\u7a7a\u9593\u60c5\u5831\u30bb\u30f3\u30bf\u30fc/38\u611b\u5a9b\u770c/121\u80b1\u5ddd\u68ee\u6797\u8a08\u753b\u533a/\u7b2c4\u7cfb/\u4f5c\u696d\u9053.shp'", "crsjgd2000": "QgsCoordinateReferenceSystem('EPSG:2446')"}, "OUTPUTS": {"": "E:/G\u7a7a\u9593\u60c5\u5831\u30bb\u30f3\u30bf\u30fc/38\u611b\u5a9b\u770c/121\u80b1\u5ddd\u68ee\u6797\u8a08\u753b\u533aTKY2JGD/\u7b2c4\u7cfb/\u4f5c\u696d\u9053.fgb"}}</t>
  </si>
  <si>
    <t>{"PARAMETERS": {"2": "'E:/G\u7a7a\u9593\u60c5\u5831\u30bb\u30f3\u30bf\u30fc/38\u611b\u5a9b\u770c/121\u80b1\u5ddd\u68ee\u6797\u8a08\u753b\u533a/\u7b2c4\u7cfb/\u7b49\u9ad8\u7dda10m\u9593\u9694.shp'", "crsjgd2000": "QgsCoordinateReferenceSystem('EPSG:2446')"}, "OUTPUTS": {"": "E:/G\u7a7a\u9593\u60c5\u5831\u30bb\u30f3\u30bf\u30fc/38\u611b\u5a9b\u770c/121\u80b1\u5ddd\u68ee\u6797\u8a08\u753b\u533aTKY2JGD/\u7b2c4\u7cfb/\u7b49\u9ad8\u7dda10m\u9593\u9694.fgb"}}</t>
  </si>
  <si>
    <t>{"PARAMETERS": {"2": "'E:/G\u7a7a\u9593\u60c5\u5831\u30bb\u30f3\u30bf\u30fc/38\u611b\u5a9b\u770c/122\u4e2d\u4e88\u5c71\u5cb3\u68ee\u6797\u8a08\u753b\u533a/\u7b2c4\u7cfb/\u5883\u754c.shp'", "crsjgd2000": "QgsCoordinateReferenceSystem('EPSG:2446')"}, "OUTPUTS": {"": "E:/G\u7a7a\u9593\u60c5\u5831\u30bb\u30f3\u30bf\u30fc/38\u611b\u5a9b\u770c/122\u4e2d\u4e88\u5c71\u5cb3\u68ee\u6797\u8a08\u753b\u533aTKY2JGD/\u7b2c4\u7cfb/\u5883\u754c.fgb"}}</t>
  </si>
  <si>
    <t>{"PARAMETERS": {"2": "'E:/G\u7a7a\u9593\u60c5\u5831\u30bb\u30f3\u30bf\u30fc/38\u611b\u5a9b\u770c/122\u4e2d\u4e88\u5c71\u5cb3\u68ee\u6797\u8a08\u753b\u533a/\u7b2c4\u7cfb/\u6797\u73ed\u754c.shp'", "crsjgd2000": "QgsCoordinateReferenceSystem('EPSG:2446')"}, "OUTPUTS": {"": "E:/G\u7a7a\u9593\u60c5\u5831\u30bb\u30f3\u30bf\u30fc/38\u611b\u5a9b\u770c/122\u4e2d\u4e88\u5c71\u5cb3\u68ee\u6797\u8a08\u753b\u533aTKY2JGD/\u7b2c4\u7cfb/\u6797\u73ed\u754c.fgb"}}</t>
  </si>
  <si>
    <t>{"PARAMETERS": {"2": "'E:/G\u7a7a\u9593\u60c5\u5831\u30bb\u30f3\u30bf\u30fc/38\u611b\u5a9b\u770c/122\u4e2d\u4e88\u5c71\u5cb3\u68ee\u6797\u8a08\u753b\u533a/\u7b2c4\u7cfb/\u6797\u73ed\u533a\u753b.shp'", "crsjgd2000": "QgsCoordinateReferenceSystem('EPSG:2446')"}, "OUTPUTS": {"": "E:/G\u7a7a\u9593\u60c5\u5831\u30bb\u30f3\u30bf\u30fc/38\u611b\u5a9b\u770c/122\u4e2d\u4e88\u5c71\u5cb3\u68ee\u6797\u8a08\u753b\u533aTKY2JGD/\u7b2c4\u7cfb/\u6797\u73ed\u533a\u753b.fgb"}}</t>
  </si>
  <si>
    <t>{"PARAMETERS": {"2": "'E:/G\u7a7a\u9593\u60c5\u5831\u30bb\u30f3\u30bf\u30fc/38\u611b\u5a9b\u770c/122\u4e2d\u4e88\u5c71\u5cb3\u68ee\u6797\u8a08\u753b\u533a/\u7b2c4\u7cfb/\u5c0f\u73ed\u754c.shp'", "crsjgd2000": "QgsCoordinateReferenceSystem('EPSG:2446')"}, "OUTPUTS": {"": "E:/G\u7a7a\u9593\u60c5\u5831\u30bb\u30f3\u30bf\u30fc/38\u611b\u5a9b\u770c/122\u4e2d\u4e88\u5c71\u5cb3\u68ee\u6797\u8a08\u753b\u533aTKY2JGD/\u7b2c4\u7cfb/\u5c0f\u73ed\u754c.fgb"}}</t>
  </si>
  <si>
    <t>{"PARAMETERS": {"2": "'E:/G\u7a7a\u9593\u60c5\u5831\u30bb\u30f3\u30bf\u30fc/38\u611b\u5a9b\u770c/122\u4e2d\u4e88\u5c71\u5cb3\u68ee\u6797\u8a08\u753b\u533a/\u7b2c4\u7cfb/\u5c0f\u73ed\u533a\u753b.shp'", "crsjgd2000": "QgsCoordinateReferenceSystem('EPSG:2446')"}, "OUTPUTS": {"": "E:/G\u7a7a\u9593\u60c5\u5831\u30bb\u30f3\u30bf\u30fc/38\u611b\u5a9b\u770c/122\u4e2d\u4e88\u5c71\u5cb3\u68ee\u6797\u8a08\u753b\u533aTKY2JGD/\u7b2c4\u7cfb/\u5c0f\u73ed\u533a\u753b.fgb"}}</t>
  </si>
  <si>
    <t>{"PARAMETERS": {"2": "'E:/G\u7a7a\u9593\u60c5\u5831\u30bb\u30f3\u30bf\u30fc/38\u611b\u5a9b\u770c/122\u4e2d\u4e88\u5c71\u5cb3\u68ee\u6797\u8a08\u753b\u533a/\u7b2c4\u7cfb/\u6797\u9053.shp'", "crsjgd2000": "QgsCoordinateReferenceSystem('EPSG:2446')"}, "OUTPUTS": {"": "E:/G\u7a7a\u9593\u60c5\u5831\u30bb\u30f3\u30bf\u30fc/38\u611b\u5a9b\u770c/122\u4e2d\u4e88\u5c71\u5cb3\u68ee\u6797\u8a08\u753b\u533aTKY2JGD/\u7b2c4\u7cfb/\u6797\u9053.fgb"}}</t>
  </si>
  <si>
    <t>{"PARAMETERS": {"2": "'E:/G\u7a7a\u9593\u60c5\u5831\u30bb\u30f3\u30bf\u30fc/38\u611b\u5a9b\u770c/122\u4e2d\u4e88\u5c71\u5cb3\u68ee\u6797\u8a08\u753b\u533a/\u7b2c4\u7cfb/\u4f5c\u696d\u9053.shp'", "crsjgd2000": "QgsCoordinateReferenceSystem('EPSG:2446')"}, "OUTPUTS": {"": "E:/G\u7a7a\u9593\u60c5\u5831\u30bb\u30f3\u30bf\u30fc/38\u611b\u5a9b\u770c/122\u4e2d\u4e88\u5c71\u5cb3\u68ee\u6797\u8a08\u753b\u533aTKY2JGD/\u7b2c4\u7cfb/\u4f5c\u696d\u9053.fgb"}}</t>
  </si>
  <si>
    <t>{"PARAMETERS": {"2": "'E:/G\u7a7a\u9593\u60c5\u5831\u30bb\u30f3\u30bf\u30fc/38\u611b\u5a9b\u770c/122\u4e2d\u4e88\u5c71\u5cb3\u68ee\u6797\u8a08\u753b\u533a/\u7b2c4\u7cfb/\u7b49\u9ad8\u7dda10m\u9593\u9694.shp'", "crsjgd2000": "QgsCoordinateReferenceSystem('EPSG:2446')"}, "OUTPUTS": {"": "E:/G\u7a7a\u9593\u60c5\u5831\u30bb\u30f3\u30bf\u30fc/38\u611b\u5a9b\u770c/122\u4e2d\u4e88\u5c71\u5cb3\u68ee\u6797\u8a08\u753b\u533aTKY2JGD/\u7b2c4\u7cfb/\u7b49\u9ad8\u7dda10m\u9593\u9694.fgb"}}</t>
  </si>
  <si>
    <t>{"PARAMETERS": {"2": "'E:/G\u7a7a\u9593\u60c5\u5831\u30bb\u30f3\u30bf\u30fc/38\u611b\u5a9b\u770c/123\u5357\u4e88\u68ee\u6797\u8a08\u753b\u533a/\u7b2c4\u7cfb/\u5883\u754c.shp'", "crsjgd2000": "QgsCoordinateReferenceSystem('EPSG:2446')"}, "OUTPUTS": {"": "E:/G\u7a7a\u9593\u60c5\u5831\u30bb\u30f3\u30bf\u30fc/38\u611b\u5a9b\u770c/123\u5357\u4e88\u68ee\u6797\u8a08\u753b\u533aTKY2JGD/\u7b2c4\u7cfb/\u5883\u754c.fgb"}}</t>
  </si>
  <si>
    <t>{"PARAMETERS": {"2": "'E:/G\u7a7a\u9593\u60c5\u5831\u30bb\u30f3\u30bf\u30fc/38\u611b\u5a9b\u770c/123\u5357\u4e88\u68ee\u6797\u8a08\u753b\u533a/\u7b2c4\u7cfb/\u6797\u73ed\u754c.shp'", "crsjgd2000": "QgsCoordinateReferenceSystem('EPSG:2446')"}, "OUTPUTS": {"": "E:/G\u7a7a\u9593\u60c5\u5831\u30bb\u30f3\u30bf\u30fc/38\u611b\u5a9b\u770c/123\u5357\u4e88\u68ee\u6797\u8a08\u753b\u533aTKY2JGD/\u7b2c4\u7cfb/\u6797\u73ed\u754c.fgb"}}</t>
  </si>
  <si>
    <t>{"PARAMETERS": {"2": "'E:/G\u7a7a\u9593\u60c5\u5831\u30bb\u30f3\u30bf\u30fc/38\u611b\u5a9b\u770c/123\u5357\u4e88\u68ee\u6797\u8a08\u753b\u533a/\u7b2c4\u7cfb/\u6797\u73ed\u533a\u753b.shp'", "crsjgd2000": "QgsCoordinateReferenceSystem('EPSG:2446')"}, "OUTPUTS": {"": "E:/G\u7a7a\u9593\u60c5\u5831\u30bb\u30f3\u30bf\u30fc/38\u611b\u5a9b\u770c/123\u5357\u4e88\u68ee\u6797\u8a08\u753b\u533aTKY2JGD/\u7b2c4\u7cfb/\u6797\u73ed\u533a\u753b.fgb"}}</t>
  </si>
  <si>
    <t>{"PARAMETERS": {"2": "'E:/G\u7a7a\u9593\u60c5\u5831\u30bb\u30f3\u30bf\u30fc/38\u611b\u5a9b\u770c/123\u5357\u4e88\u68ee\u6797\u8a08\u753b\u533a/\u7b2c4\u7cfb/\u5c0f\u73ed\u754c.shp'", "crsjgd2000": "QgsCoordinateReferenceSystem('EPSG:2446')"}, "OUTPUTS": {"": "E:/G\u7a7a\u9593\u60c5\u5831\u30bb\u30f3\u30bf\u30fc/38\u611b\u5a9b\u770c/123\u5357\u4e88\u68ee\u6797\u8a08\u753b\u533aTKY2JGD/\u7b2c4\u7cfb/\u5c0f\u73ed\u754c.fgb"}}</t>
  </si>
  <si>
    <t>{"PARAMETERS": {"2": "'E:/G\u7a7a\u9593\u60c5\u5831\u30bb\u30f3\u30bf\u30fc/38\u611b\u5a9b\u770c/123\u5357\u4e88\u68ee\u6797\u8a08\u753b\u533a/\u7b2c4\u7cfb/\u5c0f\u73ed\u533a\u753b.shp'", "crsjgd2000": "QgsCoordinateReferenceSystem('EPSG:2446')"}, "OUTPUTS": {"": "E:/G\u7a7a\u9593\u60c5\u5831\u30bb\u30f3\u30bf\u30fc/38\u611b\u5a9b\u770c/123\u5357\u4e88\u68ee\u6797\u8a08\u753b\u533aTKY2JGD/\u7b2c4\u7cfb/\u5c0f\u73ed\u533a\u753b.fgb"}}</t>
  </si>
  <si>
    <t>{"PARAMETERS": {"2": "'E:/G\u7a7a\u9593\u60c5\u5831\u30bb\u30f3\u30bf\u30fc/38\u611b\u5a9b\u770c/123\u5357\u4e88\u68ee\u6797\u8a08\u753b\u533a/\u7b2c4\u7cfb/\u6797\u9053.shp'", "crsjgd2000": "QgsCoordinateReferenceSystem('EPSG:2446')"}, "OUTPUTS": {"": "E:/G\u7a7a\u9593\u60c5\u5831\u30bb\u30f3\u30bf\u30fc/38\u611b\u5a9b\u770c/123\u5357\u4e88\u68ee\u6797\u8a08\u753b\u533aTKY2JGD/\u7b2c4\u7cfb/\u6797\u9053.fgb"}}</t>
  </si>
  <si>
    <t>{"PARAMETERS": {"2": "'E:/G\u7a7a\u9593\u60c5\u5831\u30bb\u30f3\u30bf\u30fc/38\u611b\u5a9b\u770c/123\u5357\u4e88\u68ee\u6797\u8a08\u753b\u533a/\u7b2c4\u7cfb/\u4f5c\u696d\u9053.shp'", "crsjgd2000": "QgsCoordinateReferenceSystem('EPSG:2446')"}, "OUTPUTS": {"": "E:/G\u7a7a\u9593\u60c5\u5831\u30bb\u30f3\u30bf\u30fc/38\u611b\u5a9b\u770c/123\u5357\u4e88\u68ee\u6797\u8a08\u753b\u533aTKY2JGD/\u7b2c4\u7cfb/\u4f5c\u696d\u9053.fgb"}}</t>
  </si>
  <si>
    <t>{"PARAMETERS": {"2": "'E:/G\u7a7a\u9593\u60c5\u5831\u30bb\u30f3\u30bf\u30fc/38\u611b\u5a9b\u770c/123\u5357\u4e88\u68ee\u6797\u8a08\u753b\u533a/\u7b2c4\u7cfb/\u7b49\u9ad8\u7dda10m\u9593\u9694.shp'", "crsjgd2000": "QgsCoordinateReferenceSystem('EPSG:2446')"}, "OUTPUTS": {"": "E:/G\u7a7a\u9593\u60c5\u5831\u30bb\u30f3\u30bf\u30fc/38\u611b\u5a9b\u770c/123\u5357\u4e88\u68ee\u6797\u8a08\u753b\u533aTKY2JGD/\u7b2c4\u7cfb/\u7b49\u9ad8\u7dda10m\u9593\u9694.fgb"}}</t>
  </si>
  <si>
    <t>{"PARAMETERS": {"2": "'E:/G\u7a7a\u9593\u60c5\u5831\u30bb\u30f3\u30bf\u30fc/39\u9ad8\u77e5\u770c/124\u5dba\u5317\u4ec1\u6dc0\u68ee\u6797\u8a08\u753b\u533a/\u7b2c4\u7cfb/\u5883\u754c.shp'", "crsjgd2000": "QgsCoordinateReferenceSystem('EPSG:2446')"}, "OUTPUTS": {"": "E:/G\u7a7a\u9593\u60c5\u5831\u30bb\u30f3\u30bf\u30fc/39\u9ad8\u77e5\u770c/124\u5dba\u5317\u4ec1\u6dc0\u68ee\u6797\u8a08\u753b\u533aTKY2JGD/\u7b2c4\u7cfb/\u5883\u754c.fgb"}}</t>
  </si>
  <si>
    <t>{"PARAMETERS": {"2": "'E:/G\u7a7a\u9593\u60c5\u5831\u30bb\u30f3\u30bf\u30fc/39\u9ad8\u77e5\u770c/124\u5dba\u5317\u4ec1\u6dc0\u68ee\u6797\u8a08\u753b\u533a/\u7b2c4\u7cfb/\u6797\u73ed\u754c.shp'", "crsjgd2000": "QgsCoordinateReferenceSystem('EPSG:2446')"}, "OUTPUTS": {"": "E:/G\u7a7a\u9593\u60c5\u5831\u30bb\u30f3\u30bf\u30fc/39\u9ad8\u77e5\u770c/124\u5dba\u5317\u4ec1\u6dc0\u68ee\u6797\u8a08\u753b\u533aTKY2JGD/\u7b2c4\u7cfb/\u6797\u73ed\u754c.fgb"}}</t>
  </si>
  <si>
    <t>{"PARAMETERS": {"2": "'E:/G\u7a7a\u9593\u60c5\u5831\u30bb\u30f3\u30bf\u30fc/39\u9ad8\u77e5\u770c/124\u5dba\u5317\u4ec1\u6dc0\u68ee\u6797\u8a08\u753b\u533a/\u7b2c4\u7cfb/\u6797\u73ed\u533a\u753b.shp'", "crsjgd2000": "QgsCoordinateReferenceSystem('EPSG:2446')"}, "OUTPUTS": {"": "E:/G\u7a7a\u9593\u60c5\u5831\u30bb\u30f3\u30bf\u30fc/39\u9ad8\u77e5\u770c/124\u5dba\u5317\u4ec1\u6dc0\u68ee\u6797\u8a08\u753b\u533aTKY2JGD/\u7b2c4\u7cfb/\u6797\u73ed\u533a\u753b.fgb"}}</t>
  </si>
  <si>
    <t>{"PARAMETERS": {"2": "'E:/G\u7a7a\u9593\u60c5\u5831\u30bb\u30f3\u30bf\u30fc/39\u9ad8\u77e5\u770c/124\u5dba\u5317\u4ec1\u6dc0\u68ee\u6797\u8a08\u753b\u533a/\u7b2c4\u7cfb/\u5c0f\u73ed\u754c.shp'", "crsjgd2000": "QgsCoordinateReferenceSystem('EPSG:2446')"}, "OUTPUTS": {"": "E:/G\u7a7a\u9593\u60c5\u5831\u30bb\u30f3\u30bf\u30fc/39\u9ad8\u77e5\u770c/124\u5dba\u5317\u4ec1\u6dc0\u68ee\u6797\u8a08\u753b\u533aTKY2JGD/\u7b2c4\u7cfb/\u5c0f\u73ed\u754c.fgb"}}</t>
  </si>
  <si>
    <t>{"PARAMETERS": {"2": "'E:/G\u7a7a\u9593\u60c5\u5831\u30bb\u30f3\u30bf\u30fc/39\u9ad8\u77e5\u770c/124\u5dba\u5317\u4ec1\u6dc0\u68ee\u6797\u8a08\u753b\u533a/\u7b2c4\u7cfb/\u5c0f\u73ed\u533a\u753b.shp'", "crsjgd2000": "QgsCoordinateReferenceSystem('EPSG:2446')"}, "OUTPUTS": {"": "E:/G\u7a7a\u9593\u60c5\u5831\u30bb\u30f3\u30bf\u30fc/39\u9ad8\u77e5\u770c/124\u5dba\u5317\u4ec1\u6dc0\u68ee\u6797\u8a08\u753b\u533aTKY2JGD/\u7b2c4\u7cfb/\u5c0f\u73ed\u533a\u753b.fgb"}}</t>
  </si>
  <si>
    <t>{"PARAMETERS": {"2": "'E:/G\u7a7a\u9593\u60c5\u5831\u30bb\u30f3\u30bf\u30fc/39\u9ad8\u77e5\u770c/124\u5dba\u5317\u4ec1\u6dc0\u68ee\u6797\u8a08\u753b\u533a/\u7b2c4\u7cfb/\u6797\u9053.shp'", "crsjgd2000": "QgsCoordinateReferenceSystem('EPSG:2446')"}, "OUTPUTS": {"": "E:/G\u7a7a\u9593\u60c5\u5831\u30bb\u30f3\u30bf\u30fc/39\u9ad8\u77e5\u770c/124\u5dba\u5317\u4ec1\u6dc0\u68ee\u6797\u8a08\u753b\u533aTKY2JGD/\u7b2c4\u7cfb/\u6797\u9053.fgb"}}</t>
  </si>
  <si>
    <t>{"PARAMETERS": {"2": "'E:/G\u7a7a\u9593\u60c5\u5831\u30bb\u30f3\u30bf\u30fc/39\u9ad8\u77e5\u770c/124\u5dba\u5317\u4ec1\u6dc0\u68ee\u6797\u8a08\u753b\u533a/\u7b2c4\u7cfb/\u4f5c\u696d\u9053.shp'", "crsjgd2000": "QgsCoordinateReferenceSystem('EPSG:2446')"}, "OUTPUTS": {"": "E:/G\u7a7a\u9593\u60c5\u5831\u30bb\u30f3\u30bf\u30fc/39\u9ad8\u77e5\u770c/124\u5dba\u5317\u4ec1\u6dc0\u68ee\u6797\u8a08\u753b\u533aTKY2JGD/\u7b2c4\u7cfb/\u4f5c\u696d\u9053.fgb"}}</t>
  </si>
  <si>
    <t>{"PARAMETERS": {"2": "'E:/G\u7a7a\u9593\u60c5\u5831\u30bb\u30f3\u30bf\u30fc/39\u9ad8\u77e5\u770c/124\u5dba\u5317\u4ec1\u6dc0\u68ee\u6797\u8a08\u753b\u533a/\u7b2c4\u7cfb/\u7b49\u9ad8\u7dda10m\u9593\u9694.shp'", "crsjgd2000": "QgsCoordinateReferenceSystem('EPSG:2446')"}, "OUTPUTS": {"": "E:/G\u7a7a\u9593\u60c5\u5831\u30bb\u30f3\u30bf\u30fc/39\u9ad8\u77e5\u770c/124\u5dba\u5317\u4ec1\u6dc0\u68ee\u6797\u8a08\u753b\u533aTKY2JGD/\u7b2c4\u7cfb/\u7b49\u9ad8\u7dda10m\u9593\u9694.fgb"}}</t>
  </si>
  <si>
    <t>{"PARAMETERS": {"2": "'E:/G\u7a7a\u9593\u60c5\u5831\u30bb\u30f3\u30bf\u30fc/39\u9ad8\u77e5\u770c/125\u56db\u4e07\u5341\u5ddd\u68ee\u6797\u8a08\u753b\u533a/\u7b2c4\u7cfb/\u5883\u754c.shp'", "crsjgd2000": "QgsCoordinateReferenceSystem('EPSG:2446')"}, "OUTPUTS": {"": "E:/G\u7a7a\u9593\u60c5\u5831\u30bb\u30f3\u30bf\u30fc/39\u9ad8\u77e5\u770c/125\u56db\u4e07\u5341\u5ddd\u68ee\u6797\u8a08\u753b\u533aTKY2JGD/\u7b2c4\u7cfb/\u5883\u754c.fgb"}}</t>
  </si>
  <si>
    <t>{"PARAMETERS": {"2": "'E:/G\u7a7a\u9593\u60c5\u5831\u30bb\u30f3\u30bf\u30fc/39\u9ad8\u77e5\u770c/125\u56db\u4e07\u5341\u5ddd\u68ee\u6797\u8a08\u753b\u533a/\u7b2c4\u7cfb/\u6797\u73ed\u754c.shp'", "crsjgd2000": "QgsCoordinateReferenceSystem('EPSG:2446')"}, "OUTPUTS": {"": "E:/G\u7a7a\u9593\u60c5\u5831\u30bb\u30f3\u30bf\u30fc/39\u9ad8\u77e5\u770c/125\u56db\u4e07\u5341\u5ddd\u68ee\u6797\u8a08\u753b\u533aTKY2JGD/\u7b2c4\u7cfb/\u6797\u73ed\u754c.fgb"}}</t>
  </si>
  <si>
    <t>{"PARAMETERS": {"2": "'E:/G\u7a7a\u9593\u60c5\u5831\u30bb\u30f3\u30bf\u30fc/39\u9ad8\u77e5\u770c/125\u56db\u4e07\u5341\u5ddd\u68ee\u6797\u8a08\u753b\u533a/\u7b2c4\u7cfb/\u6797\u73ed\u533a\u753b.shp'", "crsjgd2000": "QgsCoordinateReferenceSystem('EPSG:2446')"}, "OUTPUTS": {"": "E:/G\u7a7a\u9593\u60c5\u5831\u30bb\u30f3\u30bf\u30fc/39\u9ad8\u77e5\u770c/125\u56db\u4e07\u5341\u5ddd\u68ee\u6797\u8a08\u753b\u533aTKY2JGD/\u7b2c4\u7cfb/\u6797\u73ed\u533a\u753b.fgb"}}</t>
  </si>
  <si>
    <t>{"PARAMETERS": {"2": "'E:/G\u7a7a\u9593\u60c5\u5831\u30bb\u30f3\u30bf\u30fc/39\u9ad8\u77e5\u770c/125\u56db\u4e07\u5341\u5ddd\u68ee\u6797\u8a08\u753b\u533a/\u7b2c4\u7cfb/\u5c0f\u73ed\u754c.shp'", "crsjgd2000": "QgsCoordinateReferenceSystem('EPSG:2446')"}, "OUTPUTS": {"": "E:/G\u7a7a\u9593\u60c5\u5831\u30bb\u30f3\u30bf\u30fc/39\u9ad8\u77e5\u770c/125\u56db\u4e07\u5341\u5ddd\u68ee\u6797\u8a08\u753b\u533aTKY2JGD/\u7b2c4\u7cfb/\u5c0f\u73ed\u754c.fgb"}}</t>
  </si>
  <si>
    <t>{"PARAMETERS": {"2": "'E:/G\u7a7a\u9593\u60c5\u5831\u30bb\u30f3\u30bf\u30fc/39\u9ad8\u77e5\u770c/125\u56db\u4e07\u5341\u5ddd\u68ee\u6797\u8a08\u753b\u533a/\u7b2c4\u7cfb/\u5c0f\u73ed\u533a\u753b.shp'", "crsjgd2000": "QgsCoordinateReferenceSystem('EPSG:2446')"}, "OUTPUTS": {"": "E:/G\u7a7a\u9593\u60c5\u5831\u30bb\u30f3\u30bf\u30fc/39\u9ad8\u77e5\u770c/125\u56db\u4e07\u5341\u5ddd\u68ee\u6797\u8a08\u753b\u533aTKY2JGD/\u7b2c4\u7cfb/\u5c0f\u73ed\u533a\u753b.fgb"}}</t>
  </si>
  <si>
    <t>{"PARAMETERS": {"2": "'E:/G\u7a7a\u9593\u60c5\u5831\u30bb\u30f3\u30bf\u30fc/39\u9ad8\u77e5\u770c/125\u56db\u4e07\u5341\u5ddd\u68ee\u6797\u8a08\u753b\u533a/\u7b2c4\u7cfb/\u6797\u9053.shp'", "crsjgd2000": "QgsCoordinateReferenceSystem('EPSG:2446')"}, "OUTPUTS": {"": "E:/G\u7a7a\u9593\u60c5\u5831\u30bb\u30f3\u30bf\u30fc/39\u9ad8\u77e5\u770c/125\u56db\u4e07\u5341\u5ddd\u68ee\u6797\u8a08\u753b\u533aTKY2JGD/\u7b2c4\u7cfb/\u6797\u9053.fgb"}}</t>
  </si>
  <si>
    <t>{"PARAMETERS": {"2": "'E:/G\u7a7a\u9593\u60c5\u5831\u30bb\u30f3\u30bf\u30fc/39\u9ad8\u77e5\u770c/125\u56db\u4e07\u5341\u5ddd\u68ee\u6797\u8a08\u753b\u533a/\u7b2c4\u7cfb/\u4f5c\u696d\u9053.shp'", "crsjgd2000": "QgsCoordinateReferenceSystem('EPSG:2446')"}, "OUTPUTS": {"": "E:/G\u7a7a\u9593\u60c5\u5831\u30bb\u30f3\u30bf\u30fc/39\u9ad8\u77e5\u770c/125\u56db\u4e07\u5341\u5ddd\u68ee\u6797\u8a08\u753b\u533aTKY2JGD/\u7b2c4\u7cfb/\u4f5c\u696d\u9053.fgb"}}</t>
  </si>
  <si>
    <t>{"PARAMETERS": {"2": "'E:/G\u7a7a\u9593\u60c5\u5831\u30bb\u30f3\u30bf\u30fc/39\u9ad8\u77e5\u770c/125\u56db\u4e07\u5341\u5ddd\u68ee\u6797\u8a08\u753b\u533a/\u7b2c4\u7cfb/\u7b49\u9ad8\u7dda10m\u9593\u9694.shp'", "crsjgd2000": "QgsCoordinateReferenceSystem('EPSG:2446')"}, "OUTPUTS": {"": "E:/G\u7a7a\u9593\u60c5\u5831\u30bb\u30f3\u30bf\u30fc/39\u9ad8\u77e5\u770c/125\u56db\u4e07\u5341\u5ddd\u68ee\u6797\u8a08\u753b\u533aTKY2JGD/\u7b2c4\u7cfb/\u7b49\u9ad8\u7dda10m\u9593\u9694.fgb"}}</t>
  </si>
  <si>
    <t>{"PARAMETERS": {"2": "'E:/G\u7a7a\u9593\u60c5\u5831\u30bb\u30f3\u30bf\u30fc/39\u9ad8\u77e5\u770c/126\u9ad8\u77e5\u68ee\u6797\u8a08\u753b\u533a/\u7b2c4\u7cfb/\u5883\u754c.shp'", "crsjgd2000": "QgsCoordinateReferenceSystem('EPSG:2446')"}, "OUTPUTS": {"": "E:/G\u7a7a\u9593\u60c5\u5831\u30bb\u30f3\u30bf\u30fc/39\u9ad8\u77e5\u770c/126\u9ad8\u77e5\u68ee\u6797\u8a08\u753b\u533aTKY2JGD/\u7b2c4\u7cfb/\u5883\u754c.fgb"}}</t>
  </si>
  <si>
    <t>{"PARAMETERS": {"2": "'E:/G\u7a7a\u9593\u60c5\u5831\u30bb\u30f3\u30bf\u30fc/39\u9ad8\u77e5\u770c/126\u9ad8\u77e5\u68ee\u6797\u8a08\u753b\u533a/\u7b2c4\u7cfb/\u6797\u73ed\u754c.shp'", "crsjgd2000": "QgsCoordinateReferenceSystem('EPSG:2446')"}, "OUTPUTS": {"": "E:/G\u7a7a\u9593\u60c5\u5831\u30bb\u30f3\u30bf\u30fc/39\u9ad8\u77e5\u770c/126\u9ad8\u77e5\u68ee\u6797\u8a08\u753b\u533aTKY2JGD/\u7b2c4\u7cfb/\u6797\u73ed\u754c.fgb"}}</t>
  </si>
  <si>
    <t>{"PARAMETERS": {"2": "'E:/G\u7a7a\u9593\u60c5\u5831\u30bb\u30f3\u30bf\u30fc/39\u9ad8\u77e5\u770c/126\u9ad8\u77e5\u68ee\u6797\u8a08\u753b\u533a/\u7b2c4\u7cfb/\u6797\u73ed\u533a\u753b.shp'", "crsjgd2000": "QgsCoordinateReferenceSystem('EPSG:2446')"}, "OUTPUTS": {"": "E:/G\u7a7a\u9593\u60c5\u5831\u30bb\u30f3\u30bf\u30fc/39\u9ad8\u77e5\u770c/126\u9ad8\u77e5\u68ee\u6797\u8a08\u753b\u533aTKY2JGD/\u7b2c4\u7cfb/\u6797\u73ed\u533a\u753b.fgb"}}</t>
  </si>
  <si>
    <t>{"PARAMETERS": {"2": "'E:/G\u7a7a\u9593\u60c5\u5831\u30bb\u30f3\u30bf\u30fc/39\u9ad8\u77e5\u770c/126\u9ad8\u77e5\u68ee\u6797\u8a08\u753b\u533a/\u7b2c4\u7cfb/\u5c0f\u73ed\u754c.shp'", "crsjgd2000": "QgsCoordinateReferenceSystem('EPSG:2446')"}, "OUTPUTS": {"": "E:/G\u7a7a\u9593\u60c5\u5831\u30bb\u30f3\u30bf\u30fc/39\u9ad8\u77e5\u770c/126\u9ad8\u77e5\u68ee\u6797\u8a08\u753b\u533aTKY2JGD/\u7b2c4\u7cfb/\u5c0f\u73ed\u754c.fgb"}}</t>
  </si>
  <si>
    <t>{"PARAMETERS": {"2": "'E:/G\u7a7a\u9593\u60c5\u5831\u30bb\u30f3\u30bf\u30fc/39\u9ad8\u77e5\u770c/126\u9ad8\u77e5\u68ee\u6797\u8a08\u753b\u533a/\u7b2c4\u7cfb/\u5c0f\u73ed\u533a\u753b.shp'", "crsjgd2000": "QgsCoordinateReferenceSystem('EPSG:2446')"}, "OUTPUTS": {"": "E:/G\u7a7a\u9593\u60c5\u5831\u30bb\u30f3\u30bf\u30fc/39\u9ad8\u77e5\u770c/126\u9ad8\u77e5\u68ee\u6797\u8a08\u753b\u533aTKY2JGD/\u7b2c4\u7cfb/\u5c0f\u73ed\u533a\u753b.fgb"}}</t>
  </si>
  <si>
    <t>{"PARAMETERS": {"2": "'E:/G\u7a7a\u9593\u60c5\u5831\u30bb\u30f3\u30bf\u30fc/39\u9ad8\u77e5\u770c/126\u9ad8\u77e5\u68ee\u6797\u8a08\u753b\u533a/\u7b2c4\u7cfb/\u6797\u9053.shp'", "crsjgd2000": "QgsCoordinateReferenceSystem('EPSG:2446')"}, "OUTPUTS": {"": "E:/G\u7a7a\u9593\u60c5\u5831\u30bb\u30f3\u30bf\u30fc/39\u9ad8\u77e5\u770c/126\u9ad8\u77e5\u68ee\u6797\u8a08\u753b\u533aTKY2JGD/\u7b2c4\u7cfb/\u6797\u9053.fgb"}}</t>
  </si>
  <si>
    <t>{"PARAMETERS": {"2": "'E:/G\u7a7a\u9593\u60c5\u5831\u30bb\u30f3\u30bf\u30fc/39\u9ad8\u77e5\u770c/126\u9ad8\u77e5\u68ee\u6797\u8a08\u753b\u533a/\u7b2c4\u7cfb/\u4f5c\u696d\u9053.shp'", "crsjgd2000": "QgsCoordinateReferenceSystem('EPSG:2446')"}, "OUTPUTS": {"": "E:/G\u7a7a\u9593\u60c5\u5831\u30bb\u30f3\u30bf\u30fc/39\u9ad8\u77e5\u770c/126\u9ad8\u77e5\u68ee\u6797\u8a08\u753b\u533aTKY2JGD/\u7b2c4\u7cfb/\u4f5c\u696d\u9053.fgb"}}</t>
  </si>
  <si>
    <t>{"PARAMETERS": {"2": "'E:/G\u7a7a\u9593\u60c5\u5831\u30bb\u30f3\u30bf\u30fc/39\u9ad8\u77e5\u770c/126\u9ad8\u77e5\u68ee\u6797\u8a08\u753b\u533a/\u7b2c4\u7cfb/\u7b49\u9ad8\u7dda10m\u9593\u9694.shp'", "crsjgd2000": "QgsCoordinateReferenceSystem('EPSG:2446')"}, "OUTPUTS": {"": "E:/G\u7a7a\u9593\u60c5\u5831\u30bb\u30f3\u30bf\u30fc/39\u9ad8\u77e5\u770c/126\u9ad8\u77e5\u68ee\u6797\u8a08\u753b\u533aTKY2JGD/\u7b2c4\u7cfb/\u7b49\u9ad8\u7dda10m\u9593\u9694.fgb"}}</t>
  </si>
  <si>
    <t>{"PARAMETERS": {"2": "'E:/G\u7a7a\u9593\u60c5\u5831\u30bb\u30f3\u30bf\u30fc/39\u9ad8\u77e5\u770c/127\u5b89\u82b8\u68ee\u6797\u8a08\u753b\u533a/\u7b2c4\u7cfb/\u5883\u754c.shp'", "crsjgd2000": "QgsCoordinateReferenceSystem('EPSG:2446')"}, "OUTPUTS": {"": "E:/G\u7a7a\u9593\u60c5\u5831\u30bb\u30f3\u30bf\u30fc/39\u9ad8\u77e5\u770c/127\u5b89\u82b8\u68ee\u6797\u8a08\u753b\u533aTKY2JGD/\u7b2c4\u7cfb/\u5883\u754c.fgb"}}</t>
  </si>
  <si>
    <t>{"PARAMETERS": {"2": "'E:/G\u7a7a\u9593\u60c5\u5831\u30bb\u30f3\u30bf\u30fc/39\u9ad8\u77e5\u770c/127\u5b89\u82b8\u68ee\u6797\u8a08\u753b\u533a/\u7b2c4\u7cfb/\u6797\u73ed\u754c.shp'", "crsjgd2000": "QgsCoordinateReferenceSystem('EPSG:2446')"}, "OUTPUTS": {"": "E:/G\u7a7a\u9593\u60c5\u5831\u30bb\u30f3\u30bf\u30fc/39\u9ad8\u77e5\u770c/127\u5b89\u82b8\u68ee\u6797\u8a08\u753b\u533aTKY2JGD/\u7b2c4\u7cfb/\u6797\u73ed\u754c.fgb"}}</t>
  </si>
  <si>
    <t>{"PARAMETERS": {"2": "'E:/G\u7a7a\u9593\u60c5\u5831\u30bb\u30f3\u30bf\u30fc/39\u9ad8\u77e5\u770c/127\u5b89\u82b8\u68ee\u6797\u8a08\u753b\u533a/\u7b2c4\u7cfb/\u6797\u73ed\u533a\u753b.shp'", "crsjgd2000": "QgsCoordinateReferenceSystem('EPSG:2446')"}, "OUTPUTS": {"": "E:/G\u7a7a\u9593\u60c5\u5831\u30bb\u30f3\u30bf\u30fc/39\u9ad8\u77e5\u770c/127\u5b89\u82b8\u68ee\u6797\u8a08\u753b\u533aTKY2JGD/\u7b2c4\u7cfb/\u6797\u73ed\u533a\u753b.fgb"}}</t>
  </si>
  <si>
    <t>{"PARAMETERS": {"2": "'E:/G\u7a7a\u9593\u60c5\u5831\u30bb\u30f3\u30bf\u30fc/39\u9ad8\u77e5\u770c/127\u5b89\u82b8\u68ee\u6797\u8a08\u753b\u533a/\u7b2c4\u7cfb/\u5c0f\u73ed\u754c.shp'", "crsjgd2000": "QgsCoordinateReferenceSystem('EPSG:2446')"}, "OUTPUTS": {"": "E:/G\u7a7a\u9593\u60c5\u5831\u30bb\u30f3\u30bf\u30fc/39\u9ad8\u77e5\u770c/127\u5b89\u82b8\u68ee\u6797\u8a08\u753b\u533aTKY2JGD/\u7b2c4\u7cfb/\u5c0f\u73ed\u754c.fgb"}}</t>
  </si>
  <si>
    <t>{"PARAMETERS": {"2": "'E:/G\u7a7a\u9593\u60c5\u5831\u30bb\u30f3\u30bf\u30fc/39\u9ad8\u77e5\u770c/127\u5b89\u82b8\u68ee\u6797\u8a08\u753b\u533a/\u7b2c4\u7cfb/\u5c0f\u73ed\u533a\u753b.shp'", "crsjgd2000": "QgsCoordinateReferenceSystem('EPSG:2446')"}, "OUTPUTS": {"": "E:/G\u7a7a\u9593\u60c5\u5831\u30bb\u30f3\u30bf\u30fc/39\u9ad8\u77e5\u770c/127\u5b89\u82b8\u68ee\u6797\u8a08\u753b\u533aTKY2JGD/\u7b2c4\u7cfb/\u5c0f\u73ed\u533a\u753b.fgb"}}</t>
  </si>
  <si>
    <t>{"PARAMETERS": {"2": "'E:/G\u7a7a\u9593\u60c5\u5831\u30bb\u30f3\u30bf\u30fc/39\u9ad8\u77e5\u770c/127\u5b89\u82b8\u68ee\u6797\u8a08\u753b\u533a/\u7b2c4\u7cfb/\u6797\u9053.shp'", "crsjgd2000": "QgsCoordinateReferenceSystem('EPSG:2446')"}, "OUTPUTS": {"": "E:/G\u7a7a\u9593\u60c5\u5831\u30bb\u30f3\u30bf\u30fc/39\u9ad8\u77e5\u770c/127\u5b89\u82b8\u68ee\u6797\u8a08\u753b\u533aTKY2JGD/\u7b2c4\u7cfb/\u6797\u9053.fgb"}}</t>
  </si>
  <si>
    <t>{"PARAMETERS": {"2": "'E:/G\u7a7a\u9593\u60c5\u5831\u30bb\u30f3\u30bf\u30fc/39\u9ad8\u77e5\u770c/127\u5b89\u82b8\u68ee\u6797\u8a08\u753b\u533a/\u7b2c4\u7cfb/\u4f5c\u696d\u9053.shp'", "crsjgd2000": "QgsCoordinateReferenceSystem('EPSG:2446')"}, "OUTPUTS": {"": "E:/G\u7a7a\u9593\u60c5\u5831\u30bb\u30f3\u30bf\u30fc/39\u9ad8\u77e5\u770c/127\u5b89\u82b8\u68ee\u6797\u8a08\u753b\u533aTKY2JGD/\u7b2c4\u7cfb/\u4f5c\u696d\u9053.fgb"}}</t>
  </si>
  <si>
    <t>{"PARAMETERS": {"2": "'E:/G\u7a7a\u9593\u60c5\u5831\u30bb\u30f3\u30bf\u30fc/39\u9ad8\u77e5\u770c/127\u5b89\u82b8\u68ee\u6797\u8a08\u753b\u533a/\u7b2c4\u7cfb/\u7b49\u9ad8\u7dda10m\u9593\u9694.shp'", "crsjgd2000": "QgsCoordinateReferenceSystem('EPSG:2446')"}, "OUTPUTS": {"": "E:/G\u7a7a\u9593\u60c5\u5831\u30bb\u30f3\u30bf\u30fc/39\u9ad8\u77e5\u770c/127\u5b89\u82b8\u68ee\u6797\u8a08\u753b\u533aTKY2JGD/\u7b2c4\u7cfb/\u7b49\u9ad8\u7dda10m\u9593\u9694.fgb"}}</t>
  </si>
  <si>
    <t>{"PARAMETERS": {"2": "'E:/G\u7a7a\u9593\u60c5\u5831\u30bb\u30f3\u30bf\u30fc/40\u798f\u5ca1\u770c/128\u9060\u8cc0\u5ddd\u68ee\u6797\u8a08\u753b\u533a/\u7b2c2\u7cfb/\u5883\u754c.shp'", "crsjgd2000": "QgsCoordinateReferenceSystem('EPSG:2444')"}, "OUTPUTS": {"": "E:/G\u7a7a\u9593\u60c5\u5831\u30bb\u30f3\u30bf\u30fc/40\u798f\u5ca1\u770c/128\u9060\u8cc0\u5ddd\u68ee\u6797\u8a08\u753b\u533aTKY2JGD/\u7b2c2\u7cfb/\u5883\u754c.fgb"}}</t>
  </si>
  <si>
    <t>{"PARAMETERS": {"2": "'E:/G\u7a7a\u9593\u60c5\u5831\u30bb\u30f3\u30bf\u30fc/40\u798f\u5ca1\u770c/128\u9060\u8cc0\u5ddd\u68ee\u6797\u8a08\u753b\u533a/\u7b2c2\u7cfb/\u6797\u73ed\u754c.shp'", "crsjgd2000": "QgsCoordinateReferenceSystem('EPSG:2444')"}, "OUTPUTS": {"": "E:/G\u7a7a\u9593\u60c5\u5831\u30bb\u30f3\u30bf\u30fc/40\u798f\u5ca1\u770c/128\u9060\u8cc0\u5ddd\u68ee\u6797\u8a08\u753b\u533aTKY2JGD/\u7b2c2\u7cfb/\u6797\u73ed\u754c.fgb"}}</t>
  </si>
  <si>
    <t>{"PARAMETERS": {"2": "'E:/G\u7a7a\u9593\u60c5\u5831\u30bb\u30f3\u30bf\u30fc/40\u798f\u5ca1\u770c/128\u9060\u8cc0\u5ddd\u68ee\u6797\u8a08\u753b\u533a/\u7b2c2\u7cfb/\u6797\u73ed\u533a\u753b.shp'", "crsjgd2000": "QgsCoordinateReferenceSystem('EPSG:2444')"}, "OUTPUTS": {"": "E:/G\u7a7a\u9593\u60c5\u5831\u30bb\u30f3\u30bf\u30fc/40\u798f\u5ca1\u770c/128\u9060\u8cc0\u5ddd\u68ee\u6797\u8a08\u753b\u533aTKY2JGD/\u7b2c2\u7cfb/\u6797\u73ed\u533a\u753b.fgb"}}</t>
  </si>
  <si>
    <t>{"PARAMETERS": {"2": "'E:/G\u7a7a\u9593\u60c5\u5831\u30bb\u30f3\u30bf\u30fc/40\u798f\u5ca1\u770c/128\u9060\u8cc0\u5ddd\u68ee\u6797\u8a08\u753b\u533a/\u7b2c2\u7cfb/\u5c0f\u73ed\u754c.shp'", "crsjgd2000": "QgsCoordinateReferenceSystem('EPSG:2444')"}, "OUTPUTS": {"": "E:/G\u7a7a\u9593\u60c5\u5831\u30bb\u30f3\u30bf\u30fc/40\u798f\u5ca1\u770c/128\u9060\u8cc0\u5ddd\u68ee\u6797\u8a08\u753b\u533aTKY2JGD/\u7b2c2\u7cfb/\u5c0f\u73ed\u754c.fgb"}}</t>
  </si>
  <si>
    <t>{"PARAMETERS": {"2": "'E:/G\u7a7a\u9593\u60c5\u5831\u30bb\u30f3\u30bf\u30fc/40\u798f\u5ca1\u770c/128\u9060\u8cc0\u5ddd\u68ee\u6797\u8a08\u753b\u533a/\u7b2c2\u7cfb/\u5c0f\u73ed\u533a\u753b.shp'", "crsjgd2000": "QgsCoordinateReferenceSystem('EPSG:2444')"}, "OUTPUTS": {"": "E:/G\u7a7a\u9593\u60c5\u5831\u30bb\u30f3\u30bf\u30fc/40\u798f\u5ca1\u770c/128\u9060\u8cc0\u5ddd\u68ee\u6797\u8a08\u753b\u533aTKY2JGD/\u7b2c2\u7cfb/\u5c0f\u73ed\u533a\u753b.fgb"}}</t>
  </si>
  <si>
    <t>{"PARAMETERS": {"2": "'E:/G\u7a7a\u9593\u60c5\u5831\u30bb\u30f3\u30bf\u30fc/40\u798f\u5ca1\u770c/128\u9060\u8cc0\u5ddd\u68ee\u6797\u8a08\u753b\u533a/\u7b2c2\u7cfb/\u6797\u9053.shp'", "crsjgd2000": "QgsCoordinateReferenceSystem('EPSG:2444')"}, "OUTPUTS": {"": "E:/G\u7a7a\u9593\u60c5\u5831\u30bb\u30f3\u30bf\u30fc/40\u798f\u5ca1\u770c/128\u9060\u8cc0\u5ddd\u68ee\u6797\u8a08\u753b\u533aTKY2JGD/\u7b2c2\u7cfb/\u6797\u9053.fgb"}}</t>
  </si>
  <si>
    <t>{"PARAMETERS": {"2": "'E:/G\u7a7a\u9593\u60c5\u5831\u30bb\u30f3\u30bf\u30fc/40\u798f\u5ca1\u770c/128\u9060\u8cc0\u5ddd\u68ee\u6797\u8a08\u753b\u533a/\u7b2c2\u7cfb/\u4f5c\u696d\u9053.shp'", "crsjgd2000": "QgsCoordinateReferenceSystem('EPSG:2444')"}, "OUTPUTS": {"": "E:/G\u7a7a\u9593\u60c5\u5831\u30bb\u30f3\u30bf\u30fc/40\u798f\u5ca1\u770c/128\u9060\u8cc0\u5ddd\u68ee\u6797\u8a08\u753b\u533aTKY2JGD/\u7b2c2\u7cfb/\u4f5c\u696d\u9053.fgb"}}</t>
  </si>
  <si>
    <t>{"PARAMETERS": {"2": "'E:/G\u7a7a\u9593\u60c5\u5831\u30bb\u30f3\u30bf\u30fc/40\u798f\u5ca1\u770c/128\u9060\u8cc0\u5ddd\u68ee\u6797\u8a08\u753b\u533a/\u7b2c2\u7cfb/\u7b49\u9ad8\u7dda10m\u9593\u9694.shp'", "crsjgd2000": "QgsCoordinateReferenceSystem('EPSG:2444')"}, "OUTPUTS": {"": "E:/G\u7a7a\u9593\u60c5\u5831\u30bb\u30f3\u30bf\u30fc/40\u798f\u5ca1\u770c/128\u9060\u8cc0\u5ddd\u68ee\u6797\u8a08\u753b\u533aTKY2JGD/\u7b2c2\u7cfb/\u7b49\u9ad8\u7dda10m\u9593\u9694.fgb"}}</t>
  </si>
  <si>
    <t>{"PARAMETERS": {"2": "'E:/G\u7a7a\u9593\u60c5\u5831\u30bb\u30f3\u30bf\u30fc/40\u798f\u5ca1\u770c/129\u798f\u5ca1\u68ee\u6797\u8a08\u753b\u533a/\u7b2c2\u7cfb/\u5883\u754c.shp'", "crsjgd2000": "QgsCoordinateReferenceSystem('EPSG:2444')"}, "OUTPUTS": {"": "E:/G\u7a7a\u9593\u60c5\u5831\u30bb\u30f3\u30bf\u30fc/40\u798f\u5ca1\u770c/129\u798f\u5ca1\u68ee\u6797\u8a08\u753b\u533aTKY2JGD/\u7b2c2\u7cfb/\u5883\u754c.fgb"}}</t>
  </si>
  <si>
    <t>{"PARAMETERS": {"2": "'E:/G\u7a7a\u9593\u60c5\u5831\u30bb\u30f3\u30bf\u30fc/40\u798f\u5ca1\u770c/129\u798f\u5ca1\u68ee\u6797\u8a08\u753b\u533a/\u7b2c2\u7cfb/\u6797\u73ed\u754c.shp'", "crsjgd2000": "QgsCoordinateReferenceSystem('EPSG:2444')"}, "OUTPUTS": {"": "E:/G\u7a7a\u9593\u60c5\u5831\u30bb\u30f3\u30bf\u30fc/40\u798f\u5ca1\u770c/129\u798f\u5ca1\u68ee\u6797\u8a08\u753b\u533aTKY2JGD/\u7b2c2\u7cfb/\u6797\u73ed\u754c.fgb"}}</t>
  </si>
  <si>
    <t>{"PARAMETERS": {"2": "'E:/G\u7a7a\u9593\u60c5\u5831\u30bb\u30f3\u30bf\u30fc/40\u798f\u5ca1\u770c/129\u798f\u5ca1\u68ee\u6797\u8a08\u753b\u533a/\u7b2c2\u7cfb/\u6797\u73ed\u533a\u753b.shp'", "crsjgd2000": "QgsCoordinateReferenceSystem('EPSG:2444')"}, "OUTPUTS": {"": "E:/G\u7a7a\u9593\u60c5\u5831\u30bb\u30f3\u30bf\u30fc/40\u798f\u5ca1\u770c/129\u798f\u5ca1\u68ee\u6797\u8a08\u753b\u533aTKY2JGD/\u7b2c2\u7cfb/\u6797\u73ed\u533a\u753b.fgb"}}</t>
  </si>
  <si>
    <t>{"PARAMETERS": {"2": "'E:/G\u7a7a\u9593\u60c5\u5831\u30bb\u30f3\u30bf\u30fc/40\u798f\u5ca1\u770c/129\u798f\u5ca1\u68ee\u6797\u8a08\u753b\u533a/\u7b2c2\u7cfb/\u5c0f\u73ed\u754c.shp'", "crsjgd2000": "QgsCoordinateReferenceSystem('EPSG:2444')"}, "OUTPUTS": {"": "E:/G\u7a7a\u9593\u60c5\u5831\u30bb\u30f3\u30bf\u30fc/40\u798f\u5ca1\u770c/129\u798f\u5ca1\u68ee\u6797\u8a08\u753b\u533aTKY2JGD/\u7b2c2\u7cfb/\u5c0f\u73ed\u754c.fgb"}}</t>
  </si>
  <si>
    <t>{"PARAMETERS": {"2": "'E:/G\u7a7a\u9593\u60c5\u5831\u30bb\u30f3\u30bf\u30fc/40\u798f\u5ca1\u770c/129\u798f\u5ca1\u68ee\u6797\u8a08\u753b\u533a/\u7b2c2\u7cfb/\u5c0f\u73ed\u533a\u753b.shp'", "crsjgd2000": "QgsCoordinateReferenceSystem('EPSG:2444')"}, "OUTPUTS": {"": "E:/G\u7a7a\u9593\u60c5\u5831\u30bb\u30f3\u30bf\u30fc/40\u798f\u5ca1\u770c/129\u798f\u5ca1\u68ee\u6797\u8a08\u753b\u533aTKY2JGD/\u7b2c2\u7cfb/\u5c0f\u73ed\u533a\u753b.fgb"}}</t>
  </si>
  <si>
    <t>{"PARAMETERS": {"2": "'E:/G\u7a7a\u9593\u60c5\u5831\u30bb\u30f3\u30bf\u30fc/40\u798f\u5ca1\u770c/129\u798f\u5ca1\u68ee\u6797\u8a08\u753b\u533a/\u7b2c2\u7cfb/\u6797\u9053.shp'", "crsjgd2000": "QgsCoordinateReferenceSystem('EPSG:2444')"}, "OUTPUTS": {"": "E:/G\u7a7a\u9593\u60c5\u5831\u30bb\u30f3\u30bf\u30fc/40\u798f\u5ca1\u770c/129\u798f\u5ca1\u68ee\u6797\u8a08\u753b\u533aTKY2JGD/\u7b2c2\u7cfb/\u6797\u9053.fgb"}}</t>
  </si>
  <si>
    <t>{"PARAMETERS": {"2": "'E:/G\u7a7a\u9593\u60c5\u5831\u30bb\u30f3\u30bf\u30fc/40\u798f\u5ca1\u770c/129\u798f\u5ca1\u68ee\u6797\u8a08\u753b\u533a/\u7b2c2\u7cfb/\u4f5c\u696d\u9053.shp'", "crsjgd2000": "QgsCoordinateReferenceSystem('EPSG:2444')"}, "OUTPUTS": {"": "E:/G\u7a7a\u9593\u60c5\u5831\u30bb\u30f3\u30bf\u30fc/40\u798f\u5ca1\u770c/129\u798f\u5ca1\u68ee\u6797\u8a08\u753b\u533aTKY2JGD/\u7b2c2\u7cfb/\u4f5c\u696d\u9053.fgb"}}</t>
  </si>
  <si>
    <t>{"PARAMETERS": {"2": "'E:/G\u7a7a\u9593\u60c5\u5831\u30bb\u30f3\u30bf\u30fc/40\u798f\u5ca1\u770c/129\u798f\u5ca1\u68ee\u6797\u8a08\u753b\u533a/\u7b2c2\u7cfb/\u7b49\u9ad8\u7dda10m\u9593\u9694.shp'", "crsjgd2000": "QgsCoordinateReferenceSystem('EPSG:2444')"}, "OUTPUTS": {"": "E:/G\u7a7a\u9593\u60c5\u5831\u30bb\u30f3\u30bf\u30fc/40\u798f\u5ca1\u770c/129\u798f\u5ca1\u68ee\u6797\u8a08\u753b\u533aTKY2JGD/\u7b2c2\u7cfb/\u7b49\u9ad8\u7dda10m\u9593\u9694.fgb"}}</t>
  </si>
  <si>
    <t>{"PARAMETERS": {"2": "'E:/G\u7a7a\u9593\u60c5\u5831\u30bb\u30f3\u30bf\u30fc/40\u798f\u5ca1\u770c/130\u7b51\u5f8c\u30fb\u77e2\u90e8\u5ddd\u68ee\u6797\u8a08\u753b\u533a/\u7b2c2\u7cfb/\u5883\u754c.shp'", "crsjgd2000": "QgsCoordinateReferenceSystem('EPSG:2444')"}, "OUTPUTS": {"": "E:/G\u7a7a\u9593\u60c5\u5831\u30bb\u30f3\u30bf\u30fc/40\u798f\u5ca1\u770c/130\u7b51\u5f8c\u30fb\u77e2\u90e8\u5ddd\u68ee\u6797\u8a08\u753b\u533aTKY2JGD/\u7b2c2\u7cfb/\u5883\u754c.fgb"}}</t>
  </si>
  <si>
    <t>{"PARAMETERS": {"2": "'E:/G\u7a7a\u9593\u60c5\u5831\u30bb\u30f3\u30bf\u30fc/40\u798f\u5ca1\u770c/130\u7b51\u5f8c\u30fb\u77e2\u90e8\u5ddd\u68ee\u6797\u8a08\u753b\u533a/\u7b2c2\u7cfb/\u6797\u73ed\u754c.shp'", "crsjgd2000": "QgsCoordinateReferenceSystem('EPSG:2444')"}, "OUTPUTS": {"": "E:/G\u7a7a\u9593\u60c5\u5831\u30bb\u30f3\u30bf\u30fc/40\u798f\u5ca1\u770c/130\u7b51\u5f8c\u30fb\u77e2\u90e8\u5ddd\u68ee\u6797\u8a08\u753b\u533aTKY2JGD/\u7b2c2\u7cfb/\u6797\u73ed\u754c.fgb"}}</t>
  </si>
  <si>
    <t>{"PARAMETERS": {"2": "'E:/G\u7a7a\u9593\u60c5\u5831\u30bb\u30f3\u30bf\u30fc/40\u798f\u5ca1\u770c/130\u7b51\u5f8c\u30fb\u77e2\u90e8\u5ddd\u68ee\u6797\u8a08\u753b\u533a/\u7b2c2\u7cfb/\u6797\u73ed\u533a\u753b.shp'", "crsjgd2000": "QgsCoordinateReferenceSystem('EPSG:2444')"}, "OUTPUTS": {"": "E:/G\u7a7a\u9593\u60c5\u5831\u30bb\u30f3\u30bf\u30fc/40\u798f\u5ca1\u770c/130\u7b51\u5f8c\u30fb\u77e2\u90e8\u5ddd\u68ee\u6797\u8a08\u753b\u533aTKY2JGD/\u7b2c2\u7cfb/\u6797\u73ed\u533a\u753b.fgb"}}</t>
  </si>
  <si>
    <t>{"PARAMETERS": {"2": "'E:/G\u7a7a\u9593\u60c5\u5831\u30bb\u30f3\u30bf\u30fc/40\u798f\u5ca1\u770c/130\u7b51\u5f8c\u30fb\u77e2\u90e8\u5ddd\u68ee\u6797\u8a08\u753b\u533a/\u7b2c2\u7cfb/\u5c0f\u73ed\u754c.shp'", "crsjgd2000": "QgsCoordinateReferenceSystem('EPSG:2444')"}, "OUTPUTS": {"": "E:/G\u7a7a\u9593\u60c5\u5831\u30bb\u30f3\u30bf\u30fc/40\u798f\u5ca1\u770c/130\u7b51\u5f8c\u30fb\u77e2\u90e8\u5ddd\u68ee\u6797\u8a08\u753b\u533aTKY2JGD/\u7b2c2\u7cfb/\u5c0f\u73ed\u754c.fgb"}}</t>
  </si>
  <si>
    <t>{"PARAMETERS": {"2": "'E:/G\u7a7a\u9593\u60c5\u5831\u30bb\u30f3\u30bf\u30fc/40\u798f\u5ca1\u770c/130\u7b51\u5f8c\u30fb\u77e2\u90e8\u5ddd\u68ee\u6797\u8a08\u753b\u533a/\u7b2c2\u7cfb/\u5c0f\u73ed\u533a\u753b.shp'", "crsjgd2000": "QgsCoordinateReferenceSystem('EPSG:2444')"}, "OUTPUTS": {"": "E:/G\u7a7a\u9593\u60c5\u5831\u30bb\u30f3\u30bf\u30fc/40\u798f\u5ca1\u770c/130\u7b51\u5f8c\u30fb\u77e2\u90e8\u5ddd\u68ee\u6797\u8a08\u753b\u533aTKY2JGD/\u7b2c2\u7cfb/\u5c0f\u73ed\u533a\u753b.fgb"}}</t>
  </si>
  <si>
    <t>{"PARAMETERS": {"2": "'E:/G\u7a7a\u9593\u60c5\u5831\u30bb\u30f3\u30bf\u30fc/40\u798f\u5ca1\u770c/130\u7b51\u5f8c\u30fb\u77e2\u90e8\u5ddd\u68ee\u6797\u8a08\u753b\u533a/\u7b2c2\u7cfb/\u6797\u9053.shp'", "crsjgd2000": "QgsCoordinateReferenceSystem('EPSG:2444')"}, "OUTPUTS": {"": "E:/G\u7a7a\u9593\u60c5\u5831\u30bb\u30f3\u30bf\u30fc/40\u798f\u5ca1\u770c/130\u7b51\u5f8c\u30fb\u77e2\u90e8\u5ddd\u68ee\u6797\u8a08\u753b\u533aTKY2JGD/\u7b2c2\u7cfb/\u6797\u9053.fgb"}}</t>
  </si>
  <si>
    <t>{"PARAMETERS": {"2": "'E:/G\u7a7a\u9593\u60c5\u5831\u30bb\u30f3\u30bf\u30fc/40\u798f\u5ca1\u770c/130\u7b51\u5f8c\u30fb\u77e2\u90e8\u5ddd\u68ee\u6797\u8a08\u753b\u533a/\u7b2c2\u7cfb/\u4f5c\u696d\u9053.shp'", "crsjgd2000": "QgsCoordinateReferenceSystem('EPSG:2444')"}, "OUTPUTS": {"": "E:/G\u7a7a\u9593\u60c5\u5831\u30bb\u30f3\u30bf\u30fc/40\u798f\u5ca1\u770c/130\u7b51\u5f8c\u30fb\u77e2\u90e8\u5ddd\u68ee\u6797\u8a08\u753b\u533aTKY2JGD/\u7b2c2\u7cfb/\u4f5c\u696d\u9053.fgb"}}</t>
  </si>
  <si>
    <t>{"PARAMETERS": {"2": "'E:/G\u7a7a\u9593\u60c5\u5831\u30bb\u30f3\u30bf\u30fc/40\u798f\u5ca1\u770c/130\u7b51\u5f8c\u30fb\u77e2\u90e8\u5ddd\u68ee\u6797\u8a08\u753b\u533a/\u7b2c2\u7cfb/\u7b49\u9ad8\u7dda10m\u9593\u9694.shp'", "crsjgd2000": "QgsCoordinateReferenceSystem('EPSG:2444')"}, "OUTPUTS": {"": "E:/G\u7a7a\u9593\u60c5\u5831\u30bb\u30f3\u30bf\u30fc/40\u798f\u5ca1\u770c/130\u7b51\u5f8c\u30fb\u77e2\u90e8\u5ddd\u68ee\u6797\u8a08\u753b\u533aTKY2JGD/\u7b2c2\u7cfb/\u7b49\u9ad8\u7dda10m\u9593\u9694.fgb"}}</t>
  </si>
  <si>
    <t>{"PARAMETERS": {"2": "'E:/G\u7a7a\u9593\u60c5\u5831\u30bb\u30f3\u30bf\u30fc/41\u4f50\u8cc0\u770c/131\u4f50\u8cc0\u6771\u90e8\u68ee\u6797\u8a08\u753b\u533a/\u7b2c2\u7cfb/\u5883\u754c.shp'", "crsjgd2000": "QgsCoordinateReferenceSystem('EPSG:2444')"}, "OUTPUTS": {"": "E:/G\u7a7a\u9593\u60c5\u5831\u30bb\u30f3\u30bf\u30fc/41\u4f50\u8cc0\u770c/131\u4f50\u8cc0\u6771\u90e8\u68ee\u6797\u8a08\u753b\u533aTKY2JGD/\u7b2c2\u7cfb/\u5883\u754c.fgb"}}</t>
  </si>
  <si>
    <t>{"PARAMETERS": {"2": "'E:/G\u7a7a\u9593\u60c5\u5831\u30bb\u30f3\u30bf\u30fc/41\u4f50\u8cc0\u770c/131\u4f50\u8cc0\u6771\u90e8\u68ee\u6797\u8a08\u753b\u533a/\u7b2c2\u7cfb/\u6797\u73ed\u754c.shp'", "crsjgd2000": "QgsCoordinateReferenceSystem('EPSG:2444')"}, "OUTPUTS": {"": "E:/G\u7a7a\u9593\u60c5\u5831\u30bb\u30f3\u30bf\u30fc/41\u4f50\u8cc0\u770c/131\u4f50\u8cc0\u6771\u90e8\u68ee\u6797\u8a08\u753b\u533aTKY2JGD/\u7b2c2\u7cfb/\u6797\u73ed\u754c.fgb"}}</t>
  </si>
  <si>
    <t>{"PARAMETERS": {"2": "'E:/G\u7a7a\u9593\u60c5\u5831\u30bb\u30f3\u30bf\u30fc/41\u4f50\u8cc0\u770c/131\u4f50\u8cc0\u6771\u90e8\u68ee\u6797\u8a08\u753b\u533a/\u7b2c2\u7cfb/\u6797\u73ed\u533a\u753b.shp'", "crsjgd2000": "QgsCoordinateReferenceSystem('EPSG:2444')"}, "OUTPUTS": {"": "E:/G\u7a7a\u9593\u60c5\u5831\u30bb\u30f3\u30bf\u30fc/41\u4f50\u8cc0\u770c/131\u4f50\u8cc0\u6771\u90e8\u68ee\u6797\u8a08\u753b\u533aTKY2JGD/\u7b2c2\u7cfb/\u6797\u73ed\u533a\u753b.fgb"}}</t>
  </si>
  <si>
    <t>{"PARAMETERS": {"2": "'E:/G\u7a7a\u9593\u60c5\u5831\u30bb\u30f3\u30bf\u30fc/41\u4f50\u8cc0\u770c/131\u4f50\u8cc0\u6771\u90e8\u68ee\u6797\u8a08\u753b\u533a/\u7b2c2\u7cfb/\u5c0f\u73ed\u754c.shp'", "crsjgd2000": "QgsCoordinateReferenceSystem('EPSG:2444')"}, "OUTPUTS": {"": "E:/G\u7a7a\u9593\u60c5\u5831\u30bb\u30f3\u30bf\u30fc/41\u4f50\u8cc0\u770c/131\u4f50\u8cc0\u6771\u90e8\u68ee\u6797\u8a08\u753b\u533aTKY2JGD/\u7b2c2\u7cfb/\u5c0f\u73ed\u754c.fgb"}}</t>
  </si>
  <si>
    <t>{"PARAMETERS": {"2": "'E:/G\u7a7a\u9593\u60c5\u5831\u30bb\u30f3\u30bf\u30fc/41\u4f50\u8cc0\u770c/131\u4f50\u8cc0\u6771\u90e8\u68ee\u6797\u8a08\u753b\u533a/\u7b2c2\u7cfb/\u5c0f\u73ed\u533a\u753b.shp'", "crsjgd2000": "QgsCoordinateReferenceSystem('EPSG:2444')"}, "OUTPUTS": {"": "E:/G\u7a7a\u9593\u60c5\u5831\u30bb\u30f3\u30bf\u30fc/41\u4f50\u8cc0\u770c/131\u4f50\u8cc0\u6771\u90e8\u68ee\u6797\u8a08\u753b\u533aTKY2JGD/\u7b2c2\u7cfb/\u5c0f\u73ed\u533a\u753b.fgb"}}</t>
  </si>
  <si>
    <t>{"PARAMETERS": {"2": "'E:/G\u7a7a\u9593\u60c5\u5831\u30bb\u30f3\u30bf\u30fc/41\u4f50\u8cc0\u770c/131\u4f50\u8cc0\u6771\u90e8\u68ee\u6797\u8a08\u753b\u533a/\u7b2c2\u7cfb/\u6797\u9053.shp'", "crsjgd2000": "QgsCoordinateReferenceSystem('EPSG:2444')"}, "OUTPUTS": {"": "E:/G\u7a7a\u9593\u60c5\u5831\u30bb\u30f3\u30bf\u30fc/41\u4f50\u8cc0\u770c/131\u4f50\u8cc0\u6771\u90e8\u68ee\u6797\u8a08\u753b\u533aTKY2JGD/\u7b2c2\u7cfb/\u6797\u9053.fgb"}}</t>
  </si>
  <si>
    <t>{"PARAMETERS": {"2": "'E:/G\u7a7a\u9593\u60c5\u5831\u30bb\u30f3\u30bf\u30fc/41\u4f50\u8cc0\u770c/131\u4f50\u8cc0\u6771\u90e8\u68ee\u6797\u8a08\u753b\u533a/\u7b2c2\u7cfb/\u4f5c\u696d\u9053.shp'", "crsjgd2000": "QgsCoordinateReferenceSystem('EPSG:2444')"}, "OUTPUTS": {"": "E:/G\u7a7a\u9593\u60c5\u5831\u30bb\u30f3\u30bf\u30fc/41\u4f50\u8cc0\u770c/131\u4f50\u8cc0\u6771\u90e8\u68ee\u6797\u8a08\u753b\u533aTKY2JGD/\u7b2c2\u7cfb/\u4f5c\u696d\u9053.fgb"}}</t>
  </si>
  <si>
    <t>{"PARAMETERS": {"2": "'E:/G\u7a7a\u9593\u60c5\u5831\u30bb\u30f3\u30bf\u30fc/41\u4f50\u8cc0\u770c/131\u4f50\u8cc0\u6771\u90e8\u68ee\u6797\u8a08\u753b\u533a/\u7b2c2\u7cfb/\u7b49\u9ad8\u7dda10m\u9593\u9694.shp'", "crsjgd2000": "QgsCoordinateReferenceSystem('EPSG:2444')"}, "OUTPUTS": {"": "E:/G\u7a7a\u9593\u60c5\u5831\u30bb\u30f3\u30bf\u30fc/41\u4f50\u8cc0\u770c/131\u4f50\u8cc0\u6771\u90e8\u68ee\u6797\u8a08\u753b\u533aTKY2JGD/\u7b2c2\u7cfb/\u7b49\u9ad8\u7dda10m\u9593\u9694.fgb"}}</t>
  </si>
  <si>
    <t>{"PARAMETERS": {"2": "'E:/G\u7a7a\u9593\u60c5\u5831\u30bb\u30f3\u30bf\u30fc/41\u4f50\u8cc0\u770c/132\u4f50\u8cc0\u897f\u90e8\u68ee\u6797\u8a08\u753b\u533a/\u7b2c2\u7cfb/\u5883\u754c.shp'", "crsjgd2000": "QgsCoordinateReferenceSystem('EPSG:2444')"}, "OUTPUTS": {"": "E:/G\u7a7a\u9593\u60c5\u5831\u30bb\u30f3\u30bf\u30fc/41\u4f50\u8cc0\u770c/132\u4f50\u8cc0\u897f\u90e8\u68ee\u6797\u8a08\u753b\u533aTKY2JGD/\u7b2c2\u7cfb/\u5883\u754c.fgb"}}</t>
  </si>
  <si>
    <t>{"PARAMETERS": {"2": "'E:/G\u7a7a\u9593\u60c5\u5831\u30bb\u30f3\u30bf\u30fc/41\u4f50\u8cc0\u770c/132\u4f50\u8cc0\u897f\u90e8\u68ee\u6797\u8a08\u753b\u533a/\u7b2c2\u7cfb/\u6797\u73ed\u754c.shp'", "crsjgd2000": "QgsCoordinateReferenceSystem('EPSG:2444')"}, "OUTPUTS": {"": "E:/G\u7a7a\u9593\u60c5\u5831\u30bb\u30f3\u30bf\u30fc/41\u4f50\u8cc0\u770c/132\u4f50\u8cc0\u897f\u90e8\u68ee\u6797\u8a08\u753b\u533aTKY2JGD/\u7b2c2\u7cfb/\u6797\u73ed\u754c.fgb"}}</t>
  </si>
  <si>
    <t>{"PARAMETERS": {"2": "'E:/G\u7a7a\u9593\u60c5\u5831\u30bb\u30f3\u30bf\u30fc/41\u4f50\u8cc0\u770c/132\u4f50\u8cc0\u897f\u90e8\u68ee\u6797\u8a08\u753b\u533a/\u7b2c2\u7cfb/\u6797\u73ed\u533a\u753b.shp'", "crsjgd2000": "QgsCoordinateReferenceSystem('EPSG:2444')"}, "OUTPUTS": {"": "E:/G\u7a7a\u9593\u60c5\u5831\u30bb\u30f3\u30bf\u30fc/41\u4f50\u8cc0\u770c/132\u4f50\u8cc0\u897f\u90e8\u68ee\u6797\u8a08\u753b\u533aTKY2JGD/\u7b2c2\u7cfb/\u6797\u73ed\u533a\u753b.fgb"}}</t>
  </si>
  <si>
    <t>{"PARAMETERS": {"2": "'E:/G\u7a7a\u9593\u60c5\u5831\u30bb\u30f3\u30bf\u30fc/41\u4f50\u8cc0\u770c/132\u4f50\u8cc0\u897f\u90e8\u68ee\u6797\u8a08\u753b\u533a/\u7b2c2\u7cfb/\u5c0f\u73ed\u754c.shp'", "crsjgd2000": "QgsCoordinateReferenceSystem('EPSG:2444')"}, "OUTPUTS": {"": "E:/G\u7a7a\u9593\u60c5\u5831\u30bb\u30f3\u30bf\u30fc/41\u4f50\u8cc0\u770c/132\u4f50\u8cc0\u897f\u90e8\u68ee\u6797\u8a08\u753b\u533aTKY2JGD/\u7b2c2\u7cfb/\u5c0f\u73ed\u754c.fgb"}}</t>
  </si>
  <si>
    <t>{"PARAMETERS": {"2": "'E:/G\u7a7a\u9593\u60c5\u5831\u30bb\u30f3\u30bf\u30fc/41\u4f50\u8cc0\u770c/132\u4f50\u8cc0\u897f\u90e8\u68ee\u6797\u8a08\u753b\u533a/\u7b2c2\u7cfb/\u5c0f\u73ed\u533a\u753b.shp'", "crsjgd2000": "QgsCoordinateReferenceSystem('EPSG:2444')"}, "OUTPUTS": {"": "E:/G\u7a7a\u9593\u60c5\u5831\u30bb\u30f3\u30bf\u30fc/41\u4f50\u8cc0\u770c/132\u4f50\u8cc0\u897f\u90e8\u68ee\u6797\u8a08\u753b\u533aTKY2JGD/\u7b2c2\u7cfb/\u5c0f\u73ed\u533a\u753b.fgb"}}</t>
  </si>
  <si>
    <t>{"PARAMETERS": {"2": "'E:/G\u7a7a\u9593\u60c5\u5831\u30bb\u30f3\u30bf\u30fc/41\u4f50\u8cc0\u770c/132\u4f50\u8cc0\u897f\u90e8\u68ee\u6797\u8a08\u753b\u533a/\u7b2c2\u7cfb/\u6797\u9053.shp'", "crsjgd2000": "QgsCoordinateReferenceSystem('EPSG:2444')"}, "OUTPUTS": {"": "E:/G\u7a7a\u9593\u60c5\u5831\u30bb\u30f3\u30bf\u30fc/41\u4f50\u8cc0\u770c/132\u4f50\u8cc0\u897f\u90e8\u68ee\u6797\u8a08\u753b\u533aTKY2JGD/\u7b2c2\u7cfb/\u6797\u9053.fgb"}}</t>
  </si>
  <si>
    <t>{"PARAMETERS": {"2": "'E:/G\u7a7a\u9593\u60c5\u5831\u30bb\u30f3\u30bf\u30fc/41\u4f50\u8cc0\u770c/132\u4f50\u8cc0\u897f\u90e8\u68ee\u6797\u8a08\u753b\u533a/\u7b2c2\u7cfb/\u4f5c\u696d\u9053.shp'", "crsjgd2000": "QgsCoordinateReferenceSystem('EPSG:2444')"}, "OUTPUTS": {"": "E:/G\u7a7a\u9593\u60c5\u5831\u30bb\u30f3\u30bf\u30fc/41\u4f50\u8cc0\u770c/132\u4f50\u8cc0\u897f\u90e8\u68ee\u6797\u8a08\u753b\u533aTKY2JGD/\u7b2c2\u7cfb/\u4f5c\u696d\u9053.fgb"}}</t>
  </si>
  <si>
    <t>{"PARAMETERS": {"2": "'E:/G\u7a7a\u9593\u60c5\u5831\u30bb\u30f3\u30bf\u30fc/41\u4f50\u8cc0\u770c/132\u4f50\u8cc0\u897f\u90e8\u68ee\u6797\u8a08\u753b\u533a/\u7b2c2\u7cfb/\u7b49\u9ad8\u7dda10m\u9593\u9694.shp'", "crsjgd2000": "QgsCoordinateReferenceSystem('EPSG:2444')"}, "OUTPUTS": {"": "E:/G\u7a7a\u9593\u60c5\u5831\u30bb\u30f3\u30bf\u30fc/41\u4f50\u8cc0\u770c/132\u4f50\u8cc0\u897f\u90e8\u68ee\u6797\u8a08\u753b\u533aTKY2JGD/\u7b2c2\u7cfb/\u7b49\u9ad8\u7dda10m\u9593\u9694.fgb"}}</t>
  </si>
  <si>
    <t>{"PARAMETERS": {"2": "'E:/G\u7a7a\u9593\u60c5\u5831\u30bb\u30f3\u30bf\u30fc/42\u9577\u5d0e\u770c/133\u9577\u5d0e\u5317\u90e8\u68ee\u6797\u8a08\u753b\u533a/\u7b2c1\u7cfb/\u5883\u754c.shp'", "crsjgd2000": "QgsCoordinateReferenceSystem('EPSG:2443')"}, "OUTPUTS": {"": "E:/G\u7a7a\u9593\u60c5\u5831\u30bb\u30f3\u30bf\u30fc/42\u9577\u5d0e\u770c/133\u9577\u5d0e\u5317\u90e8\u68ee\u6797\u8a08\u753b\u533aTKY2JGD/\u7b2c1\u7cfb/\u5883\u754c.fgb"}}</t>
  </si>
  <si>
    <t>{"PARAMETERS": {"2": "'E:/G\u7a7a\u9593\u60c5\u5831\u30bb\u30f3\u30bf\u30fc/42\u9577\u5d0e\u770c/133\u9577\u5d0e\u5317\u90e8\u68ee\u6797\u8a08\u753b\u533a/\u7b2c1\u7cfb/\u6797\u73ed\u754c.shp'", "crsjgd2000": "QgsCoordinateReferenceSystem('EPSG:2443')"}, "OUTPUTS": {"": "E:/G\u7a7a\u9593\u60c5\u5831\u30bb\u30f3\u30bf\u30fc/42\u9577\u5d0e\u770c/133\u9577\u5d0e\u5317\u90e8\u68ee\u6797\u8a08\u753b\u533aTKY2JGD/\u7b2c1\u7cfb/\u6797\u73ed\u754c.fgb"}}</t>
  </si>
  <si>
    <t>{"PARAMETERS": {"2": "'E:/G\u7a7a\u9593\u60c5\u5831\u30bb\u30f3\u30bf\u30fc/42\u9577\u5d0e\u770c/133\u9577\u5d0e\u5317\u90e8\u68ee\u6797\u8a08\u753b\u533a/\u7b2c1\u7cfb/\u6797\u73ed\u533a\u753b.shp'", "crsjgd2000": "QgsCoordinateReferenceSystem('EPSG:2443')"}, "OUTPUTS": {"": "E:/G\u7a7a\u9593\u60c5\u5831\u30bb\u30f3\u30bf\u30fc/42\u9577\u5d0e\u770c/133\u9577\u5d0e\u5317\u90e8\u68ee\u6797\u8a08\u753b\u533aTKY2JGD/\u7b2c1\u7cfb/\u6797\u73ed\u533a\u753b.fgb"}}</t>
  </si>
  <si>
    <t>{"PARAMETERS": {"2": "'E:/G\u7a7a\u9593\u60c5\u5831\u30bb\u30f3\u30bf\u30fc/42\u9577\u5d0e\u770c/133\u9577\u5d0e\u5317\u90e8\u68ee\u6797\u8a08\u753b\u533a/\u7b2c1\u7cfb/\u5c0f\u73ed\u754c.shp'", "crsjgd2000": "QgsCoordinateReferenceSystem('EPSG:2443')"}, "OUTPUTS": {"": "E:/G\u7a7a\u9593\u60c5\u5831\u30bb\u30f3\u30bf\u30fc/42\u9577\u5d0e\u770c/133\u9577\u5d0e\u5317\u90e8\u68ee\u6797\u8a08\u753b\u533aTKY2JGD/\u7b2c1\u7cfb/\u5c0f\u73ed\u754c.fgb"}}</t>
  </si>
  <si>
    <t>{"PARAMETERS": {"2": "'E:/G\u7a7a\u9593\u60c5\u5831\u30bb\u30f3\u30bf\u30fc/42\u9577\u5d0e\u770c/133\u9577\u5d0e\u5317\u90e8\u68ee\u6797\u8a08\u753b\u533a/\u7b2c1\u7cfb/\u5c0f\u73ed\u533a\u753b.shp'", "crsjgd2000": "QgsCoordinateReferenceSystem('EPSG:2443')"}, "OUTPUTS": {"": "E:/G\u7a7a\u9593\u60c5\u5831\u30bb\u30f3\u30bf\u30fc/42\u9577\u5d0e\u770c/133\u9577\u5d0e\u5317\u90e8\u68ee\u6797\u8a08\u753b\u533aTKY2JGD/\u7b2c1\u7cfb/\u5c0f\u73ed\u533a\u753b.fgb"}}</t>
  </si>
  <si>
    <t>{"PARAMETERS": {"2": "'E:/G\u7a7a\u9593\u60c5\u5831\u30bb\u30f3\u30bf\u30fc/42\u9577\u5d0e\u770c/133\u9577\u5d0e\u5317\u90e8\u68ee\u6797\u8a08\u753b\u533a/\u7b2c1\u7cfb/\u6797\u9053.shp'", "crsjgd2000": "QgsCoordinateReferenceSystem('EPSG:2443')"}, "OUTPUTS": {"": "E:/G\u7a7a\u9593\u60c5\u5831\u30bb\u30f3\u30bf\u30fc/42\u9577\u5d0e\u770c/133\u9577\u5d0e\u5317\u90e8\u68ee\u6797\u8a08\u753b\u533aTKY2JGD/\u7b2c1\u7cfb/\u6797\u9053.fgb"}}</t>
  </si>
  <si>
    <t>{"PARAMETERS": {"2": "'E:/G\u7a7a\u9593\u60c5\u5831\u30bb\u30f3\u30bf\u30fc/42\u9577\u5d0e\u770c/133\u9577\u5d0e\u5317\u90e8\u68ee\u6797\u8a08\u753b\u533a/\u7b2c1\u7cfb/\u4f5c\u696d\u9053.shp'", "crsjgd2000": "QgsCoordinateReferenceSystem('EPSG:2443')"}, "OUTPUTS": {"": "E:/G\u7a7a\u9593\u60c5\u5831\u30bb\u30f3\u30bf\u30fc/42\u9577\u5d0e\u770c/133\u9577\u5d0e\u5317\u90e8\u68ee\u6797\u8a08\u753b\u533aTKY2JGD/\u7b2c1\u7cfb/\u4f5c\u696d\u9053.fgb"}}</t>
  </si>
  <si>
    <t>{"PARAMETERS": {"2": "'E:/G\u7a7a\u9593\u60c5\u5831\u30bb\u30f3\u30bf\u30fc/42\u9577\u5d0e\u770c/133\u9577\u5d0e\u5317\u90e8\u68ee\u6797\u8a08\u753b\u533a/\u7b2c1\u7cfb/\u7b49\u9ad8\u7dda10m\u9593\u9694.shp'", "crsjgd2000": "QgsCoordinateReferenceSystem('EPSG:2443')"}, "OUTPUTS": {"": "E:/G\u7a7a\u9593\u60c5\u5831\u30bb\u30f3\u30bf\u30fc/42\u9577\u5d0e\u770c/133\u9577\u5d0e\u5317\u90e8\u68ee\u6797\u8a08\u753b\u533aTKY2JGD/\u7b2c1\u7cfb/\u7b49\u9ad8\u7dda10m\u9593\u9694.fgb"}}</t>
  </si>
  <si>
    <t>{"PARAMETERS": {"2": "'E:/G\u7a7a\u9593\u60c5\u5831\u30bb\u30f3\u30bf\u30fc/42\u9577\u5d0e\u770c/134\u9577\u5d0e\u5357\u90e8\u68ee\u6797\u8a08\u753b\u533a/\u7b2c1\u7cfb/\u5883\u754c.shp'", "crsjgd2000": "QgsCoordinateReferenceSystem('EPSG:2443')"}, "OUTPUTS": {"": "E:/G\u7a7a\u9593\u60c5\u5831\u30bb\u30f3\u30bf\u30fc/42\u9577\u5d0e\u770c/134\u9577\u5d0e\u5357\u90e8\u68ee\u6797\u8a08\u753b\u533aTKY2JGD/\u7b2c1\u7cfb/\u5883\u754c.fgb"}}</t>
  </si>
  <si>
    <t>{"PARAMETERS": {"2": "'E:/G\u7a7a\u9593\u60c5\u5831\u30bb\u30f3\u30bf\u30fc/42\u9577\u5d0e\u770c/134\u9577\u5d0e\u5357\u90e8\u68ee\u6797\u8a08\u753b\u533a/\u7b2c1\u7cfb/\u6797\u73ed\u754c.shp'", "crsjgd2000": "QgsCoordinateReferenceSystem('EPSG:2443')"}, "OUTPUTS": {"": "E:/G\u7a7a\u9593\u60c5\u5831\u30bb\u30f3\u30bf\u30fc/42\u9577\u5d0e\u770c/134\u9577\u5d0e\u5357\u90e8\u68ee\u6797\u8a08\u753b\u533aTKY2JGD/\u7b2c1\u7cfb/\u6797\u73ed\u754c.fgb"}}</t>
  </si>
  <si>
    <t>{"PARAMETERS": {"2": "'E:/G\u7a7a\u9593\u60c5\u5831\u30bb\u30f3\u30bf\u30fc/42\u9577\u5d0e\u770c/134\u9577\u5d0e\u5357\u90e8\u68ee\u6797\u8a08\u753b\u533a/\u7b2c1\u7cfb/\u6797\u73ed\u533a\u753b.shp'", "crsjgd2000": "QgsCoordinateReferenceSystem('EPSG:2443')"}, "OUTPUTS": {"": "E:/G\u7a7a\u9593\u60c5\u5831\u30bb\u30f3\u30bf\u30fc/42\u9577\u5d0e\u770c/134\u9577\u5d0e\u5357\u90e8\u68ee\u6797\u8a08\u753b\u533aTKY2JGD/\u7b2c1\u7cfb/\u6797\u73ed\u533a\u753b.fgb"}}</t>
  </si>
  <si>
    <t>{"PARAMETERS": {"2": "'E:/G\u7a7a\u9593\u60c5\u5831\u30bb\u30f3\u30bf\u30fc/42\u9577\u5d0e\u770c/134\u9577\u5d0e\u5357\u90e8\u68ee\u6797\u8a08\u753b\u533a/\u7b2c1\u7cfb/\u5c0f\u73ed\u754c.shp'", "crsjgd2000": "QgsCoordinateReferenceSystem('EPSG:2443')"}, "OUTPUTS": {"": "E:/G\u7a7a\u9593\u60c5\u5831\u30bb\u30f3\u30bf\u30fc/42\u9577\u5d0e\u770c/134\u9577\u5d0e\u5357\u90e8\u68ee\u6797\u8a08\u753b\u533aTKY2JGD/\u7b2c1\u7cfb/\u5c0f\u73ed\u754c.fgb"}}</t>
  </si>
  <si>
    <t>{"PARAMETERS": {"2": "'E:/G\u7a7a\u9593\u60c5\u5831\u30bb\u30f3\u30bf\u30fc/42\u9577\u5d0e\u770c/134\u9577\u5d0e\u5357\u90e8\u68ee\u6797\u8a08\u753b\u533a/\u7b2c1\u7cfb/\u5c0f\u73ed\u533a\u753b.shp'", "crsjgd2000": "QgsCoordinateReferenceSystem('EPSG:2443')"}, "OUTPUTS": {"": "E:/G\u7a7a\u9593\u60c5\u5831\u30bb\u30f3\u30bf\u30fc/42\u9577\u5d0e\u770c/134\u9577\u5d0e\u5357\u90e8\u68ee\u6797\u8a08\u753b\u533aTKY2JGD/\u7b2c1\u7cfb/\u5c0f\u73ed\u533a\u753b.fgb"}}</t>
  </si>
  <si>
    <t>{"PARAMETERS": {"2": "'E:/G\u7a7a\u9593\u60c5\u5831\u30bb\u30f3\u30bf\u30fc/42\u9577\u5d0e\u770c/134\u9577\u5d0e\u5357\u90e8\u68ee\u6797\u8a08\u753b\u533a/\u7b2c1\u7cfb/\u6797\u9053.shp'", "crsjgd2000": "QgsCoordinateReferenceSystem('EPSG:2443')"}, "OUTPUTS": {"": "E:/G\u7a7a\u9593\u60c5\u5831\u30bb\u30f3\u30bf\u30fc/42\u9577\u5d0e\u770c/134\u9577\u5d0e\u5357\u90e8\u68ee\u6797\u8a08\u753b\u533aTKY2JGD/\u7b2c1\u7cfb/\u6797\u9053.fgb"}}</t>
  </si>
  <si>
    <t>{"PARAMETERS": {"2": "'E:/G\u7a7a\u9593\u60c5\u5831\u30bb\u30f3\u30bf\u30fc/42\u9577\u5d0e\u770c/134\u9577\u5d0e\u5357\u90e8\u68ee\u6797\u8a08\u753b\u533a/\u7b2c1\u7cfb/\u4f5c\u696d\u9053.shp'", "crsjgd2000": "QgsCoordinateReferenceSystem('EPSG:2443')"}, "OUTPUTS": {"": "E:/G\u7a7a\u9593\u60c5\u5831\u30bb\u30f3\u30bf\u30fc/42\u9577\u5d0e\u770c/134\u9577\u5d0e\u5357\u90e8\u68ee\u6797\u8a08\u753b\u533aTKY2JGD/\u7b2c1\u7cfb/\u4f5c\u696d\u9053.fgb"}}</t>
  </si>
  <si>
    <t>{"PARAMETERS": {"2": "'E:/G\u7a7a\u9593\u60c5\u5831\u30bb\u30f3\u30bf\u30fc/42\u9577\u5d0e\u770c/134\u9577\u5d0e\u5357\u90e8\u68ee\u6797\u8a08\u753b\u533a/\u7b2c1\u7cfb/\u7b49\u9ad8\u7dda10m\u9593\u9694.shp'", "crsjgd2000": "QgsCoordinateReferenceSystem('EPSG:2443')"}, "OUTPUTS": {"": "E:/G\u7a7a\u9593\u60c5\u5831\u30bb\u30f3\u30bf\u30fc/42\u9577\u5d0e\u770c/134\u9577\u5d0e\u5357\u90e8\u68ee\u6797\u8a08\u753b\u533aTKY2JGD/\u7b2c1\u7cfb/\u7b49\u9ad8\u7dda10m\u9593\u9694.fgb"}}</t>
  </si>
  <si>
    <t>{"PARAMETERS": {"2": "'E:/G\u7a7a\u9593\u60c5\u5831\u30bb\u30f3\u30bf\u30fc/42\u9577\u5d0e\u770c/135\u4e94\u5cf6\u58f1\u5c90\u68ee\u6797\u8a08\u753b\u533a/\u7b2c1\u7cfb/\u5883\u754c.shp'", "crsjgd2000": "QgsCoordinateReferenceSystem('EPSG:2443')"}, "OUTPUTS": {"": "E:/G\u7a7a\u9593\u60c5\u5831\u30bb\u30f3\u30bf\u30fc/42\u9577\u5d0e\u770c/135\u4e94\u5cf6\u58f1\u5c90\u68ee\u6797\u8a08\u753b\u533aTKY2JGD/\u7b2c1\u7cfb/\u5883\u754c.fgb"}}</t>
  </si>
  <si>
    <t>{"PARAMETERS": {"2": "'E:/G\u7a7a\u9593\u60c5\u5831\u30bb\u30f3\u30bf\u30fc/42\u9577\u5d0e\u770c/135\u4e94\u5cf6\u58f1\u5c90\u68ee\u6797\u8a08\u753b\u533a/\u7b2c1\u7cfb/\u6797\u73ed\u754c.shp'", "crsjgd2000": "QgsCoordinateReferenceSystem('EPSG:2443')"}, "OUTPUTS": {"": "E:/G\u7a7a\u9593\u60c5\u5831\u30bb\u30f3\u30bf\u30fc/42\u9577\u5d0e\u770c/135\u4e94\u5cf6\u58f1\u5c90\u68ee\u6797\u8a08\u753b\u533aTKY2JGD/\u7b2c1\u7cfb/\u6797\u73ed\u754c.fgb"}}</t>
  </si>
  <si>
    <t>{"PARAMETERS": {"2": "'E:/G\u7a7a\u9593\u60c5\u5831\u30bb\u30f3\u30bf\u30fc/42\u9577\u5d0e\u770c/135\u4e94\u5cf6\u58f1\u5c90\u68ee\u6797\u8a08\u753b\u533a/\u7b2c1\u7cfb/\u6797\u73ed\u533a\u753b.shp'", "crsjgd2000": "QgsCoordinateReferenceSystem('EPSG:2443')"}, "OUTPUTS": {"": "E:/G\u7a7a\u9593\u60c5\u5831\u30bb\u30f3\u30bf\u30fc/42\u9577\u5d0e\u770c/135\u4e94\u5cf6\u58f1\u5c90\u68ee\u6797\u8a08\u753b\u533aTKY2JGD/\u7b2c1\u7cfb/\u6797\u73ed\u533a\u753b.fgb"}}</t>
  </si>
  <si>
    <t>{"PARAMETERS": {"2": "'E:/G\u7a7a\u9593\u60c5\u5831\u30bb\u30f3\u30bf\u30fc/42\u9577\u5d0e\u770c/135\u4e94\u5cf6\u58f1\u5c90\u68ee\u6797\u8a08\u753b\u533a/\u7b2c1\u7cfb/\u5c0f\u73ed\u754c.shp'", "crsjgd2000": "QgsCoordinateReferenceSystem('EPSG:2443')"}, "OUTPUTS": {"": "E:/G\u7a7a\u9593\u60c5\u5831\u30bb\u30f3\u30bf\u30fc/42\u9577\u5d0e\u770c/135\u4e94\u5cf6\u58f1\u5c90\u68ee\u6797\u8a08\u753b\u533aTKY2JGD/\u7b2c1\u7cfb/\u5c0f\u73ed\u754c.fgb"}}</t>
  </si>
  <si>
    <t>{"PARAMETERS": {"2": "'E:/G\u7a7a\u9593\u60c5\u5831\u30bb\u30f3\u30bf\u30fc/42\u9577\u5d0e\u770c/135\u4e94\u5cf6\u58f1\u5c90\u68ee\u6797\u8a08\u753b\u533a/\u7b2c1\u7cfb/\u5c0f\u73ed\u533a\u753b.shp'", "crsjgd2000": "QgsCoordinateReferenceSystem('EPSG:2443')"}, "OUTPUTS": {"": "E:/G\u7a7a\u9593\u60c5\u5831\u30bb\u30f3\u30bf\u30fc/42\u9577\u5d0e\u770c/135\u4e94\u5cf6\u58f1\u5c90\u68ee\u6797\u8a08\u753b\u533aTKY2JGD/\u7b2c1\u7cfb/\u5c0f\u73ed\u533a\u753b.fgb"}}</t>
  </si>
  <si>
    <t>{"PARAMETERS": {"2": "'E:/G\u7a7a\u9593\u60c5\u5831\u30bb\u30f3\u30bf\u30fc/42\u9577\u5d0e\u770c/135\u4e94\u5cf6\u58f1\u5c90\u68ee\u6797\u8a08\u753b\u533a/\u7b2c1\u7cfb/\u6797\u9053.shp'", "crsjgd2000": "QgsCoordinateReferenceSystem('EPSG:2443')"}, "OUTPUTS": {"": "E:/G\u7a7a\u9593\u60c5\u5831\u30bb\u30f3\u30bf\u30fc/42\u9577\u5d0e\u770c/135\u4e94\u5cf6\u58f1\u5c90\u68ee\u6797\u8a08\u753b\u533aTKY2JGD/\u7b2c1\u7cfb/\u6797\u9053.fgb"}}</t>
  </si>
  <si>
    <t>{"PARAMETERS": {"2": "'E:/G\u7a7a\u9593\u60c5\u5831\u30bb\u30f3\u30bf\u30fc/42\u9577\u5d0e\u770c/135\u4e94\u5cf6\u58f1\u5c90\u68ee\u6797\u8a08\u753b\u533a/\u7b2c1\u7cfb/\u4f5c\u696d\u9053.shp'", "crsjgd2000": "QgsCoordinateReferenceSystem('EPSG:2443')"}, "OUTPUTS": {"": "E:/G\u7a7a\u9593\u60c5\u5831\u30bb\u30f3\u30bf\u30fc/42\u9577\u5d0e\u770c/135\u4e94\u5cf6\u58f1\u5c90\u68ee\u6797\u8a08\u753b\u533aTKY2JGD/\u7b2c1\u7cfb/\u4f5c\u696d\u9053.fgb"}}</t>
  </si>
  <si>
    <t>{"PARAMETERS": {"2": "'E:/G\u7a7a\u9593\u60c5\u5831\u30bb\u30f3\u30bf\u30fc/42\u9577\u5d0e\u770c/135\u4e94\u5cf6\u58f1\u5c90\u68ee\u6797\u8a08\u753b\u533a/\u7b2c1\u7cfb/\u7b49\u9ad8\u7dda10m\u9593\u9694.shp'", "crsjgd2000": "QgsCoordinateReferenceSystem('EPSG:2443')"}, "OUTPUTS": {"": "E:/G\u7a7a\u9593\u60c5\u5831\u30bb\u30f3\u30bf\u30fc/42\u9577\u5d0e\u770c/135\u4e94\u5cf6\u58f1\u5c90\u68ee\u6797\u8a08\u753b\u533aTKY2JGD/\u7b2c1\u7cfb/\u7b49\u9ad8\u7dda10m\u9593\u9694.fgb"}}</t>
  </si>
  <si>
    <t>{"PARAMETERS": {"2": "'E:/G\u7a7a\u9593\u60c5\u5831\u30bb\u30f3\u30bf\u30fc/42\u9577\u5d0e\u770c/136\u5bfe\u99ac\u68ee\u6797\u8a08\u753b\u533a/\u7b2c1\u7cfb/\u5883\u754c.shp'", "crsjgd2000": "QgsCoordinateReferenceSystem('EPSG:2443')"}, "OUTPUTS": {"": "E:/G\u7a7a\u9593\u60c5\u5831\u30bb\u30f3\u30bf\u30fc/42\u9577\u5d0e\u770c/136\u5bfe\u99ac\u68ee\u6797\u8a08\u753b\u533aTKY2JGD/\u7b2c1\u7cfb/\u5883\u754c.fgb"}}</t>
  </si>
  <si>
    <t>{"PARAMETERS": {"2": "'E:/G\u7a7a\u9593\u60c5\u5831\u30bb\u30f3\u30bf\u30fc/42\u9577\u5d0e\u770c/136\u5bfe\u99ac\u68ee\u6797\u8a08\u753b\u533a/\u7b2c1\u7cfb/\u6797\u73ed\u754c.shp'", "crsjgd2000": "QgsCoordinateReferenceSystem('EPSG:2443')"}, "OUTPUTS": {"": "E:/G\u7a7a\u9593\u60c5\u5831\u30bb\u30f3\u30bf\u30fc/42\u9577\u5d0e\u770c/136\u5bfe\u99ac\u68ee\u6797\u8a08\u753b\u533aTKY2JGD/\u7b2c1\u7cfb/\u6797\u73ed\u754c.fgb"}}</t>
  </si>
  <si>
    <t>{"PARAMETERS": {"2": "'E:/G\u7a7a\u9593\u60c5\u5831\u30bb\u30f3\u30bf\u30fc/42\u9577\u5d0e\u770c/136\u5bfe\u99ac\u68ee\u6797\u8a08\u753b\u533a/\u7b2c1\u7cfb/\u6797\u73ed\u533a\u753b.shp'", "crsjgd2000": "QgsCoordinateReferenceSystem('EPSG:2443')"}, "OUTPUTS": {"": "E:/G\u7a7a\u9593\u60c5\u5831\u30bb\u30f3\u30bf\u30fc/42\u9577\u5d0e\u770c/136\u5bfe\u99ac\u68ee\u6797\u8a08\u753b\u533aTKY2JGD/\u7b2c1\u7cfb/\u6797\u73ed\u533a\u753b.fgb"}}</t>
  </si>
  <si>
    <t>{"PARAMETERS": {"2": "'E:/G\u7a7a\u9593\u60c5\u5831\u30bb\u30f3\u30bf\u30fc/42\u9577\u5d0e\u770c/136\u5bfe\u99ac\u68ee\u6797\u8a08\u753b\u533a/\u7b2c1\u7cfb/\u5c0f\u73ed\u754c.shp'", "crsjgd2000": "QgsCoordinateReferenceSystem('EPSG:2443')"}, "OUTPUTS": {"": "E:/G\u7a7a\u9593\u60c5\u5831\u30bb\u30f3\u30bf\u30fc/42\u9577\u5d0e\u770c/136\u5bfe\u99ac\u68ee\u6797\u8a08\u753b\u533aTKY2JGD/\u7b2c1\u7cfb/\u5c0f\u73ed\u754c.fgb"}}</t>
  </si>
  <si>
    <t>{"PARAMETERS": {"2": "'E:/G\u7a7a\u9593\u60c5\u5831\u30bb\u30f3\u30bf\u30fc/42\u9577\u5d0e\u770c/136\u5bfe\u99ac\u68ee\u6797\u8a08\u753b\u533a/\u7b2c1\u7cfb/\u5c0f\u73ed\u533a\u753b.shp'", "crsjgd2000": "QgsCoordinateReferenceSystem('EPSG:2443')"}, "OUTPUTS": {"": "E:/G\u7a7a\u9593\u60c5\u5831\u30bb\u30f3\u30bf\u30fc/42\u9577\u5d0e\u770c/136\u5bfe\u99ac\u68ee\u6797\u8a08\u753b\u533aTKY2JGD/\u7b2c1\u7cfb/\u5c0f\u73ed\u533a\u753b.fgb"}}</t>
  </si>
  <si>
    <t>{"PARAMETERS": {"2": "'E:/G\u7a7a\u9593\u60c5\u5831\u30bb\u30f3\u30bf\u30fc/42\u9577\u5d0e\u770c/136\u5bfe\u99ac\u68ee\u6797\u8a08\u753b\u533a/\u7b2c1\u7cfb/\u6797\u9053.shp'", "crsjgd2000": "QgsCoordinateReferenceSystem('EPSG:2443')"}, "OUTPUTS": {"": "E:/G\u7a7a\u9593\u60c5\u5831\u30bb\u30f3\u30bf\u30fc/42\u9577\u5d0e\u770c/136\u5bfe\u99ac\u68ee\u6797\u8a08\u753b\u533aTKY2JGD/\u7b2c1\u7cfb/\u6797\u9053.fgb"}}</t>
  </si>
  <si>
    <t>{"PARAMETERS": {"2": "'E:/G\u7a7a\u9593\u60c5\u5831\u30bb\u30f3\u30bf\u30fc/42\u9577\u5d0e\u770c/136\u5bfe\u99ac\u68ee\u6797\u8a08\u753b\u533a/\u7b2c1\u7cfb/\u4f5c\u696d\u9053.shp'", "crsjgd2000": "QgsCoordinateReferenceSystem('EPSG:2443')"}, "OUTPUTS": {"": "E:/G\u7a7a\u9593\u60c5\u5831\u30bb\u30f3\u30bf\u30fc/42\u9577\u5d0e\u770c/136\u5bfe\u99ac\u68ee\u6797\u8a08\u753b\u533aTKY2JGD/\u7b2c1\u7cfb/\u4f5c\u696d\u9053.fgb"}}</t>
  </si>
  <si>
    <t>{"PARAMETERS": {"2": "'E:/G\u7a7a\u9593\u60c5\u5831\u30bb\u30f3\u30bf\u30fc/42\u9577\u5d0e\u770c/136\u5bfe\u99ac\u68ee\u6797\u8a08\u753b\u533a/\u7b2c1\u7cfb/\u7b49\u9ad8\u7dda10m\u9593\u9694.shp'", "crsjgd2000": "QgsCoordinateReferenceSystem('EPSG:2443')"}, "OUTPUTS": {"": "E:/G\u7a7a\u9593\u60c5\u5831\u30bb\u30f3\u30bf\u30fc/42\u9577\u5d0e\u770c/136\u5bfe\u99ac\u68ee\u6797\u8a08\u753b\u533aTKY2JGD/\u7b2c1\u7cfb/\u7b49\u9ad8\u7dda10m\u9593\u9694.fgb"}}</t>
  </si>
  <si>
    <t>{"PARAMETERS": {"2": "'E:/G\u7a7a\u9593\u60c5\u5831\u30bb\u30f3\u30bf\u30fc/43\u718a\u672c\u770c/137\u767d\u5ddd\u30fb\u83ca\u6c60\u5ddd\u68ee\u6797\u8a08\u753b\u533a/\u7b2c2\u7cfb/\u5883\u754c.shp'", "crsjgd2000": "QgsCoordinateReferenceSystem('EPSG:2444')"}, "OUTPUTS": {"": "E:/G\u7a7a\u9593\u60c5\u5831\u30bb\u30f3\u30bf\u30fc/43\u718a\u672c\u770c/137\u767d\u5ddd\u30fb\u83ca\u6c60\u5ddd\u68ee\u6797\u8a08\u753b\u533aTKY2JGD/\u7b2c2\u7cfb/\u5883\u754c.fgb"}}</t>
  </si>
  <si>
    <t>{"PARAMETERS": {"2": "'E:/G\u7a7a\u9593\u60c5\u5831\u30bb\u30f3\u30bf\u30fc/43\u718a\u672c\u770c/137\u767d\u5ddd\u30fb\u83ca\u6c60\u5ddd\u68ee\u6797\u8a08\u753b\u533a/\u7b2c2\u7cfb/\u6797\u73ed\u754c.shp'", "crsjgd2000": "QgsCoordinateReferenceSystem('EPSG:2444')"}, "OUTPUTS": {"": "E:/G\u7a7a\u9593\u60c5\u5831\u30bb\u30f3\u30bf\u30fc/43\u718a\u672c\u770c/137\u767d\u5ddd\u30fb\u83ca\u6c60\u5ddd\u68ee\u6797\u8a08\u753b\u533aTKY2JGD/\u7b2c2\u7cfb/\u6797\u73ed\u754c.fgb"}}</t>
  </si>
  <si>
    <t>{"PARAMETERS": {"2": "'E:/G\u7a7a\u9593\u60c5\u5831\u30bb\u30f3\u30bf\u30fc/43\u718a\u672c\u770c/137\u767d\u5ddd\u30fb\u83ca\u6c60\u5ddd\u68ee\u6797\u8a08\u753b\u533a/\u7b2c2\u7cfb/\u6797\u73ed\u533a\u753b.shp'", "crsjgd2000": "QgsCoordinateReferenceSystem('EPSG:2444')"}, "OUTPUTS": {"": "E:/G\u7a7a\u9593\u60c5\u5831\u30bb\u30f3\u30bf\u30fc/43\u718a\u672c\u770c/137\u767d\u5ddd\u30fb\u83ca\u6c60\u5ddd\u68ee\u6797\u8a08\u753b\u533aTKY2JGD/\u7b2c2\u7cfb/\u6797\u73ed\u533a\u753b.fgb"}}</t>
  </si>
  <si>
    <t>{"PARAMETERS": {"2": "'E:/G\u7a7a\u9593\u60c5\u5831\u30bb\u30f3\u30bf\u30fc/43\u718a\u672c\u770c/137\u767d\u5ddd\u30fb\u83ca\u6c60\u5ddd\u68ee\u6797\u8a08\u753b\u533a/\u7b2c2\u7cfb/\u5c0f\u73ed\u754c.shp'", "crsjgd2000": "QgsCoordinateReferenceSystem('EPSG:2444')"}, "OUTPUTS": {"": "E:/G\u7a7a\u9593\u60c5\u5831\u30bb\u30f3\u30bf\u30fc/43\u718a\u672c\u770c/137\u767d\u5ddd\u30fb\u83ca\u6c60\u5ddd\u68ee\u6797\u8a08\u753b\u533aTKY2JGD/\u7b2c2\u7cfb/\u5c0f\u73ed\u754c.fgb"}}</t>
  </si>
  <si>
    <t>{"PARAMETERS": {"2": "'E:/G\u7a7a\u9593\u60c5\u5831\u30bb\u30f3\u30bf\u30fc/43\u718a\u672c\u770c/137\u767d\u5ddd\u30fb\u83ca\u6c60\u5ddd\u68ee\u6797\u8a08\u753b\u533a/\u7b2c2\u7cfb/\u5c0f\u73ed\u533a\u753b.shp'", "crsjgd2000": "QgsCoordinateReferenceSystem('EPSG:2444')"}, "OUTPUTS": {"": "E:/G\u7a7a\u9593\u60c5\u5831\u30bb\u30f3\u30bf\u30fc/43\u718a\u672c\u770c/137\u767d\u5ddd\u30fb\u83ca\u6c60\u5ddd\u68ee\u6797\u8a08\u753b\u533aTKY2JGD/\u7b2c2\u7cfb/\u5c0f\u73ed\u533a\u753b.fgb"}}</t>
  </si>
  <si>
    <t>{"PARAMETERS": {"2": "'E:/G\u7a7a\u9593\u60c5\u5831\u30bb\u30f3\u30bf\u30fc/43\u718a\u672c\u770c/137\u767d\u5ddd\u30fb\u83ca\u6c60\u5ddd\u68ee\u6797\u8a08\u753b\u533a/\u7b2c2\u7cfb/\u6797\u9053.shp'", "crsjgd2000": "QgsCoordinateReferenceSystem('EPSG:2444')"}, "OUTPUTS": {"": "E:/G\u7a7a\u9593\u60c5\u5831\u30bb\u30f3\u30bf\u30fc/43\u718a\u672c\u770c/137\u767d\u5ddd\u30fb\u83ca\u6c60\u5ddd\u68ee\u6797\u8a08\u753b\u533aTKY2JGD/\u7b2c2\u7cfb/\u6797\u9053.fgb"}}</t>
  </si>
  <si>
    <t>{"PARAMETERS": {"2": "'E:/G\u7a7a\u9593\u60c5\u5831\u30bb\u30f3\u30bf\u30fc/43\u718a\u672c\u770c/137\u767d\u5ddd\u30fb\u83ca\u6c60\u5ddd\u68ee\u6797\u8a08\u753b\u533a/\u7b2c2\u7cfb/\u4f5c\u696d\u9053.shp'", "crsjgd2000": "QgsCoordinateReferenceSystem('EPSG:2444')"}, "OUTPUTS": {"": "E:/G\u7a7a\u9593\u60c5\u5831\u30bb\u30f3\u30bf\u30fc/43\u718a\u672c\u770c/137\u767d\u5ddd\u30fb\u83ca\u6c60\u5ddd\u68ee\u6797\u8a08\u753b\u533aTKY2JGD/\u7b2c2\u7cfb/\u4f5c\u696d\u9053.fgb"}}</t>
  </si>
  <si>
    <t>{"PARAMETERS": {"2": "'E:/G\u7a7a\u9593\u60c5\u5831\u30bb\u30f3\u30bf\u30fc/43\u718a\u672c\u770c/137\u767d\u5ddd\u30fb\u83ca\u6c60\u5ddd\u68ee\u6797\u8a08\u753b\u533a/\u7b2c2\u7cfb/\u7b49\u9ad8\u7dda10m\u9593\u9694.shp'", "crsjgd2000": "QgsCoordinateReferenceSystem('EPSG:2444')"}, "OUTPUTS": {"": "E:/G\u7a7a\u9593\u60c5\u5831\u30bb\u30f3\u30bf\u30fc/43\u718a\u672c\u770c/137\u767d\u5ddd\u30fb\u83ca\u6c60\u5ddd\u68ee\u6797\u8a08\u753b\u533aTKY2JGD/\u7b2c2\u7cfb/\u7b49\u9ad8\u7dda10m\u9593\u9694.fgb"}}</t>
  </si>
  <si>
    <t>{"PARAMETERS": {"2": "'E:/G\u7a7a\u9593\u60c5\u5831\u30bb\u30f3\u30bf\u30fc/43\u718a\u672c\u770c/138\u7dd1\u5ddd\u68ee\u6797\u8a08\u753b\u533a/\u7b2c2\u7cfb/\u5883\u754c.shp'", "crsjgd2000": "QgsCoordinateReferenceSystem('EPSG:2444')"}, "OUTPUTS": {"": "E:/G\u7a7a\u9593\u60c5\u5831\u30bb\u30f3\u30bf\u30fc/43\u718a\u672c\u770c/138\u7dd1\u5ddd\u68ee\u6797\u8a08\u753b\u533aTKY2JGD/\u7b2c2\u7cfb/\u5883\u754c.fgb"}}</t>
  </si>
  <si>
    <t>{"PARAMETERS": {"2": "'E:/G\u7a7a\u9593\u60c5\u5831\u30bb\u30f3\u30bf\u30fc/43\u718a\u672c\u770c/138\u7dd1\u5ddd\u68ee\u6797\u8a08\u753b\u533a/\u7b2c2\u7cfb/\u6797\u73ed\u754c.shp'", "crsjgd2000": "QgsCoordinateReferenceSystem('EPSG:2444')"}, "OUTPUTS": {"": "E:/G\u7a7a\u9593\u60c5\u5831\u30bb\u30f3\u30bf\u30fc/43\u718a\u672c\u770c/138\u7dd1\u5ddd\u68ee\u6797\u8a08\u753b\u533aTKY2JGD/\u7b2c2\u7cfb/\u6797\u73ed\u754c.fgb"}}</t>
  </si>
  <si>
    <t>{"PARAMETERS": {"2": "'E:/G\u7a7a\u9593\u60c5\u5831\u30bb\u30f3\u30bf\u30fc/43\u718a\u672c\u770c/138\u7dd1\u5ddd\u68ee\u6797\u8a08\u753b\u533a/\u7b2c2\u7cfb/\u6797\u73ed\u533a\u753b.shp'", "crsjgd2000": "QgsCoordinateReferenceSystem('EPSG:2444')"}, "OUTPUTS": {"": "E:/G\u7a7a\u9593\u60c5\u5831\u30bb\u30f3\u30bf\u30fc/43\u718a\u672c\u770c/138\u7dd1\u5ddd\u68ee\u6797\u8a08\u753b\u533aTKY2JGD/\u7b2c2\u7cfb/\u6797\u73ed\u533a\u753b.fgb"}}</t>
  </si>
  <si>
    <t>{"PARAMETERS": {"2": "'E:/G\u7a7a\u9593\u60c5\u5831\u30bb\u30f3\u30bf\u30fc/43\u718a\u672c\u770c/138\u7dd1\u5ddd\u68ee\u6797\u8a08\u753b\u533a/\u7b2c2\u7cfb/\u5c0f\u73ed\u754c.shp'", "crsjgd2000": "QgsCoordinateReferenceSystem('EPSG:2444')"}, "OUTPUTS": {"": "E:/G\u7a7a\u9593\u60c5\u5831\u30bb\u30f3\u30bf\u30fc/43\u718a\u672c\u770c/138\u7dd1\u5ddd\u68ee\u6797\u8a08\u753b\u533aTKY2JGD/\u7b2c2\u7cfb/\u5c0f\u73ed\u754c.fgb"}}</t>
  </si>
  <si>
    <t>{"PARAMETERS": {"2": "'E:/G\u7a7a\u9593\u60c5\u5831\u30bb\u30f3\u30bf\u30fc/43\u718a\u672c\u770c/138\u7dd1\u5ddd\u68ee\u6797\u8a08\u753b\u533a/\u7b2c2\u7cfb/\u5c0f\u73ed\u533a\u753b.shp'", "crsjgd2000": "QgsCoordinateReferenceSystem('EPSG:2444')"}, "OUTPUTS": {"": "E:/G\u7a7a\u9593\u60c5\u5831\u30bb\u30f3\u30bf\u30fc/43\u718a\u672c\u770c/138\u7dd1\u5ddd\u68ee\u6797\u8a08\u753b\u533aTKY2JGD/\u7b2c2\u7cfb/\u5c0f\u73ed\u533a\u753b.fgb"}}</t>
  </si>
  <si>
    <t>{"PARAMETERS": {"2": "'E:/G\u7a7a\u9593\u60c5\u5831\u30bb\u30f3\u30bf\u30fc/43\u718a\u672c\u770c/138\u7dd1\u5ddd\u68ee\u6797\u8a08\u753b\u533a/\u7b2c2\u7cfb/\u6797\u9053.shp'", "crsjgd2000": "QgsCoordinateReferenceSystem('EPSG:2444')"}, "OUTPUTS": {"": "E:/G\u7a7a\u9593\u60c5\u5831\u30bb\u30f3\u30bf\u30fc/43\u718a\u672c\u770c/138\u7dd1\u5ddd\u68ee\u6797\u8a08\u753b\u533aTKY2JGD/\u7b2c2\u7cfb/\u6797\u9053.fgb"}}</t>
  </si>
  <si>
    <t>{"PARAMETERS": {"2": "'E:/G\u7a7a\u9593\u60c5\u5831\u30bb\u30f3\u30bf\u30fc/43\u718a\u672c\u770c/138\u7dd1\u5ddd\u68ee\u6797\u8a08\u753b\u533a/\u7b2c2\u7cfb/\u4f5c\u696d\u9053.shp'", "crsjgd2000": "QgsCoordinateReferenceSystem('EPSG:2444')"}, "OUTPUTS": {"": "E:/G\u7a7a\u9593\u60c5\u5831\u30bb\u30f3\u30bf\u30fc/43\u718a\u672c\u770c/138\u7dd1\u5ddd\u68ee\u6797\u8a08\u753b\u533aTKY2JGD/\u7b2c2\u7cfb/\u4f5c\u696d\u9053.fgb"}}</t>
  </si>
  <si>
    <t>{"PARAMETERS": {"2": "'E:/G\u7a7a\u9593\u60c5\u5831\u30bb\u30f3\u30bf\u30fc/43\u718a\u672c\u770c/138\u7dd1\u5ddd\u68ee\u6797\u8a08\u753b\u533a/\u7b2c2\u7cfb/\u7b49\u9ad8\u7dda10m\u9593\u9694.shp'", "crsjgd2000": "QgsCoordinateReferenceSystem('EPSG:2444')"}, "OUTPUTS": {"": "E:/G\u7a7a\u9593\u60c5\u5831\u30bb\u30f3\u30bf\u30fc/43\u718a\u672c\u770c/138\u7dd1\u5ddd\u68ee\u6797\u8a08\u753b\u533aTKY2JGD/\u7b2c2\u7cfb/\u7b49\u9ad8\u7dda10m\u9593\u9694.fgb"}}</t>
  </si>
  <si>
    <t>{"PARAMETERS": {"2": "'E:/G\u7a7a\u9593\u60c5\u5831\u30bb\u30f3\u30bf\u30fc/43\u718a\u672c\u770c/139\u7403\u78e8\u5ddd\u68ee\u6797\u8a08\u753b\u533a/\u7b2c2\u7cfb/\u5883\u754c.shp'", "crsjgd2000": "QgsCoordinateReferenceSystem('EPSG:2444')"}, "OUTPUTS": {"": "E:/G\u7a7a\u9593\u60c5\u5831\u30bb\u30f3\u30bf\u30fc/43\u718a\u672c\u770c/139\u7403\u78e8\u5ddd\u68ee\u6797\u8a08\u753b\u533aTKY2JGD/\u7b2c2\u7cfb/\u5883\u754c.fgb"}}</t>
  </si>
  <si>
    <t>{"PARAMETERS": {"2": "'E:/G\u7a7a\u9593\u60c5\u5831\u30bb\u30f3\u30bf\u30fc/43\u718a\u672c\u770c/139\u7403\u78e8\u5ddd\u68ee\u6797\u8a08\u753b\u533a/\u7b2c2\u7cfb/\u6797\u73ed\u754c.shp'", "crsjgd2000": "QgsCoordinateReferenceSystem('EPSG:2444')"}, "OUTPUTS": {"": "E:/G\u7a7a\u9593\u60c5\u5831\u30bb\u30f3\u30bf\u30fc/43\u718a\u672c\u770c/139\u7403\u78e8\u5ddd\u68ee\u6797\u8a08\u753b\u533aTKY2JGD/\u7b2c2\u7cfb/\u6797\u73ed\u754c.fgb"}}</t>
  </si>
  <si>
    <t>{"PARAMETERS": {"2": "'E:/G\u7a7a\u9593\u60c5\u5831\u30bb\u30f3\u30bf\u30fc/43\u718a\u672c\u770c/139\u7403\u78e8\u5ddd\u68ee\u6797\u8a08\u753b\u533a/\u7b2c2\u7cfb/\u6797\u73ed\u533a\u753b.shp'", "crsjgd2000": "QgsCoordinateReferenceSystem('EPSG:2444')"}, "OUTPUTS": {"": "E:/G\u7a7a\u9593\u60c5\u5831\u30bb\u30f3\u30bf\u30fc/43\u718a\u672c\u770c/139\u7403\u78e8\u5ddd\u68ee\u6797\u8a08\u753b\u533aTKY2JGD/\u7b2c2\u7cfb/\u6797\u73ed\u533a\u753b.fgb"}}</t>
  </si>
  <si>
    <t>{"PARAMETERS": {"2": "'E:/G\u7a7a\u9593\u60c5\u5831\u30bb\u30f3\u30bf\u30fc/43\u718a\u672c\u770c/139\u7403\u78e8\u5ddd\u68ee\u6797\u8a08\u753b\u533a/\u7b2c2\u7cfb/\u5c0f\u73ed\u754c.shp'", "crsjgd2000": "QgsCoordinateReferenceSystem('EPSG:2444')"}, "OUTPUTS": {"": "E:/G\u7a7a\u9593\u60c5\u5831\u30bb\u30f3\u30bf\u30fc/43\u718a\u672c\u770c/139\u7403\u78e8\u5ddd\u68ee\u6797\u8a08\u753b\u533aTKY2JGD/\u7b2c2\u7cfb/\u5c0f\u73ed\u754c.fgb"}}</t>
  </si>
  <si>
    <t>{"PARAMETERS": {"2": "'E:/G\u7a7a\u9593\u60c5\u5831\u30bb\u30f3\u30bf\u30fc/43\u718a\u672c\u770c/139\u7403\u78e8\u5ddd\u68ee\u6797\u8a08\u753b\u533a/\u7b2c2\u7cfb/\u5c0f\u73ed\u533a\u753b.shp'", "crsjgd2000": "QgsCoordinateReferenceSystem('EPSG:2444')"}, "OUTPUTS": {"": "E:/G\u7a7a\u9593\u60c5\u5831\u30bb\u30f3\u30bf\u30fc/43\u718a\u672c\u770c/139\u7403\u78e8\u5ddd\u68ee\u6797\u8a08\u753b\u533aTKY2JGD/\u7b2c2\u7cfb/\u5c0f\u73ed\u533a\u753b.fgb"}}</t>
  </si>
  <si>
    <t>{"PARAMETERS": {"2": "'E:/G\u7a7a\u9593\u60c5\u5831\u30bb\u30f3\u30bf\u30fc/43\u718a\u672c\u770c/139\u7403\u78e8\u5ddd\u68ee\u6797\u8a08\u753b\u533a/\u7b2c2\u7cfb/\u6797\u9053.shp'", "crsjgd2000": "QgsCoordinateReferenceSystem('EPSG:2444')"}, "OUTPUTS": {"": "E:/G\u7a7a\u9593\u60c5\u5831\u30bb\u30f3\u30bf\u30fc/43\u718a\u672c\u770c/139\u7403\u78e8\u5ddd\u68ee\u6797\u8a08\u753b\u533aTKY2JGD/\u7b2c2\u7cfb/\u6797\u9053.fgb"}}</t>
  </si>
  <si>
    <t>{"PARAMETERS": {"2": "'E:/G\u7a7a\u9593\u60c5\u5831\u30bb\u30f3\u30bf\u30fc/43\u718a\u672c\u770c/139\u7403\u78e8\u5ddd\u68ee\u6797\u8a08\u753b\u533a/\u7b2c2\u7cfb/\u4f5c\u696d\u9053.shp'", "crsjgd2000": "QgsCoordinateReferenceSystem('EPSG:2444')"}, "OUTPUTS": {"": "E:/G\u7a7a\u9593\u60c5\u5831\u30bb\u30f3\u30bf\u30fc/43\u718a\u672c\u770c/139\u7403\u78e8\u5ddd\u68ee\u6797\u8a08\u753b\u533aTKY2JGD/\u7b2c2\u7cfb/\u4f5c\u696d\u9053.fgb"}}</t>
  </si>
  <si>
    <t>{"PARAMETERS": {"2": "'E:/G\u7a7a\u9593\u60c5\u5831\u30bb\u30f3\u30bf\u30fc/43\u718a\u672c\u770c/139\u7403\u78e8\u5ddd\u68ee\u6797\u8a08\u753b\u533a/\u7b2c2\u7cfb/\u7b49\u9ad8\u7dda10m\u9593\u9694.shp'", "crsjgd2000": "QgsCoordinateReferenceSystem('EPSG:2444')"}, "OUTPUTS": {"": "E:/G\u7a7a\u9593\u60c5\u5831\u30bb\u30f3\u30bf\u30fc/43\u718a\u672c\u770c/139\u7403\u78e8\u5ddd\u68ee\u6797\u8a08\u753b\u533aTKY2JGD/\u7b2c2\u7cfb/\u7b49\u9ad8\u7dda10m\u9593\u9694.fgb"}}</t>
  </si>
  <si>
    <t>{"PARAMETERS": {"2": "'E:/G\u7a7a\u9593\u60c5\u5831\u30bb\u30f3\u30bf\u30fc/43\u718a\u672c\u770c/140\u5929\u8349\u68ee\u6797\u8a08\u753b\u533a/\u7b2c2\u7cfb/\u5883\u754c.shp'", "crsjgd2000": "QgsCoordinateReferenceSystem('EPSG:2444')"}, "OUTPUTS": {"": "E:/G\u7a7a\u9593\u60c5\u5831\u30bb\u30f3\u30bf\u30fc/43\u718a\u672c\u770c/140\u5929\u8349\u68ee\u6797\u8a08\u753b\u533aTKY2JGD/\u7b2c2\u7cfb/\u5883\u754c.fgb"}}</t>
  </si>
  <si>
    <t>{"PARAMETERS": {"2": "'E:/G\u7a7a\u9593\u60c5\u5831\u30bb\u30f3\u30bf\u30fc/43\u718a\u672c\u770c/140\u5929\u8349\u68ee\u6797\u8a08\u753b\u533a/\u7b2c2\u7cfb/\u6797\u73ed\u754c.shp'", "crsjgd2000": "QgsCoordinateReferenceSystem('EPSG:2444')"}, "OUTPUTS": {"": "E:/G\u7a7a\u9593\u60c5\u5831\u30bb\u30f3\u30bf\u30fc/43\u718a\u672c\u770c/140\u5929\u8349\u68ee\u6797\u8a08\u753b\u533aTKY2JGD/\u7b2c2\u7cfb/\u6797\u73ed\u754c.fgb"}}</t>
  </si>
  <si>
    <t>{"PARAMETERS": {"2": "'E:/G\u7a7a\u9593\u60c5\u5831\u30bb\u30f3\u30bf\u30fc/43\u718a\u672c\u770c/140\u5929\u8349\u68ee\u6797\u8a08\u753b\u533a/\u7b2c2\u7cfb/\u6797\u73ed\u533a\u753b.shp'", "crsjgd2000": "QgsCoordinateReferenceSystem('EPSG:2444')"}, "OUTPUTS": {"": "E:/G\u7a7a\u9593\u60c5\u5831\u30bb\u30f3\u30bf\u30fc/43\u718a\u672c\u770c/140\u5929\u8349\u68ee\u6797\u8a08\u753b\u533aTKY2JGD/\u7b2c2\u7cfb/\u6797\u73ed\u533a\u753b.fgb"}}</t>
  </si>
  <si>
    <t>{"PARAMETERS": {"2": "'E:/G\u7a7a\u9593\u60c5\u5831\u30bb\u30f3\u30bf\u30fc/43\u718a\u672c\u770c/140\u5929\u8349\u68ee\u6797\u8a08\u753b\u533a/\u7b2c2\u7cfb/\u5c0f\u73ed\u754c.shp'", "crsjgd2000": "QgsCoordinateReferenceSystem('EPSG:2444')"}, "OUTPUTS": {"": "E:/G\u7a7a\u9593\u60c5\u5831\u30bb\u30f3\u30bf\u30fc/43\u718a\u672c\u770c/140\u5929\u8349\u68ee\u6797\u8a08\u753b\u533aTKY2JGD/\u7b2c2\u7cfb/\u5c0f\u73ed\u754c.fgb"}}</t>
  </si>
  <si>
    <t>{"PARAMETERS": {"2": "'E:/G\u7a7a\u9593\u60c5\u5831\u30bb\u30f3\u30bf\u30fc/43\u718a\u672c\u770c/140\u5929\u8349\u68ee\u6797\u8a08\u753b\u533a/\u7b2c2\u7cfb/\u5c0f\u73ed\u533a\u753b.shp'", "crsjgd2000": "QgsCoordinateReferenceSystem('EPSG:2444')"}, "OUTPUTS": {"": "E:/G\u7a7a\u9593\u60c5\u5831\u30bb\u30f3\u30bf\u30fc/43\u718a\u672c\u770c/140\u5929\u8349\u68ee\u6797\u8a08\u753b\u533aTKY2JGD/\u7b2c2\u7cfb/\u5c0f\u73ed\u533a\u753b.fgb"}}</t>
  </si>
  <si>
    <t>{"PARAMETERS": {"2": "'E:/G\u7a7a\u9593\u60c5\u5831\u30bb\u30f3\u30bf\u30fc/43\u718a\u672c\u770c/140\u5929\u8349\u68ee\u6797\u8a08\u753b\u533a/\u7b2c2\u7cfb/\u6797\u9053.shp'", "crsjgd2000": "QgsCoordinateReferenceSystem('EPSG:2444')"}, "OUTPUTS": {"": "E:/G\u7a7a\u9593\u60c5\u5831\u30bb\u30f3\u30bf\u30fc/43\u718a\u672c\u770c/140\u5929\u8349\u68ee\u6797\u8a08\u753b\u533aTKY2JGD/\u7b2c2\u7cfb/\u6797\u9053.fgb"}}</t>
  </si>
  <si>
    <t>{"PARAMETERS": {"2": "'E:/G\u7a7a\u9593\u60c5\u5831\u30bb\u30f3\u30bf\u30fc/43\u718a\u672c\u770c/140\u5929\u8349\u68ee\u6797\u8a08\u753b\u533a/\u7b2c2\u7cfb/\u4f5c\u696d\u9053.shp'", "crsjgd2000": "QgsCoordinateReferenceSystem('EPSG:2444')"}, "OUTPUTS": {"": "E:/G\u7a7a\u9593\u60c5\u5831\u30bb\u30f3\u30bf\u30fc/43\u718a\u672c\u770c/140\u5929\u8349\u68ee\u6797\u8a08\u753b\u533aTKY2JGD/\u7b2c2\u7cfb/\u4f5c\u696d\u9053.fgb"}}</t>
  </si>
  <si>
    <t>{"PARAMETERS": {"2": "'E:/G\u7a7a\u9593\u60c5\u5831\u30bb\u30f3\u30bf\u30fc/43\u718a\u672c\u770c/140\u5929\u8349\u68ee\u6797\u8a08\u753b\u533a/\u7b2c2\u7cfb/\u7b49\u9ad8\u7dda10m\u9593\u9694.shp'", "crsjgd2000": "QgsCoordinateReferenceSystem('EPSG:2444')"}, "OUTPUTS": {"": "E:/G\u7a7a\u9593\u60c5\u5831\u30bb\u30f3\u30bf\u30fc/43\u718a\u672c\u770c/140\u5929\u8349\u68ee\u6797\u8a08\u753b\u533aTKY2JGD/\u7b2c2\u7cfb/\u7b49\u9ad8\u7dda10m\u9593\u9694.fgb"}}</t>
  </si>
  <si>
    <t>{"PARAMETERS": {"2": "'E:/G\u7a7a\u9593\u60c5\u5831\u30bb\u30f3\u30bf\u30fc/44\u5927\u5206\u770c/141\u5927\u5206\u5317\u90e8\u68ee\u6797\u8a08\u753b\u533a/\u7b2c2\u7cfb/\u5883\u754c.shp'", "crsjgd2000": "QgsCoordinateReferenceSystem('EPSG:2444')"}, "OUTPUTS": {"": "E:/G\u7a7a\u9593\u60c5\u5831\u30bb\u30f3\u30bf\u30fc/44\u5927\u5206\u770c/141\u5927\u5206\u5317\u90e8\u68ee\u6797\u8a08\u753b\u533aTKY2JGD/\u7b2c2\u7cfb/\u5883\u754c.fgb"}}</t>
  </si>
  <si>
    <t>{"PARAMETERS": {"2": "'E:/G\u7a7a\u9593\u60c5\u5831\u30bb\u30f3\u30bf\u30fc/44\u5927\u5206\u770c/141\u5927\u5206\u5317\u90e8\u68ee\u6797\u8a08\u753b\u533a/\u7b2c2\u7cfb/\u6797\u73ed\u754c.shp'", "crsjgd2000": "QgsCoordinateReferenceSystem('EPSG:2444')"}, "OUTPUTS": {"": "E:/G\u7a7a\u9593\u60c5\u5831\u30bb\u30f3\u30bf\u30fc/44\u5927\u5206\u770c/141\u5927\u5206\u5317\u90e8\u68ee\u6797\u8a08\u753b\u533aTKY2JGD/\u7b2c2\u7cfb/\u6797\u73ed\u754c.fgb"}}</t>
  </si>
  <si>
    <t>{"PARAMETERS": {"2": "'E:/G\u7a7a\u9593\u60c5\u5831\u30bb\u30f3\u30bf\u30fc/44\u5927\u5206\u770c/141\u5927\u5206\u5317\u90e8\u68ee\u6797\u8a08\u753b\u533a/\u7b2c2\u7cfb/\u6797\u73ed\u533a\u753b.shp'", "crsjgd2000": "QgsCoordinateReferenceSystem('EPSG:2444')"}, "OUTPUTS": {"": "E:/G\u7a7a\u9593\u60c5\u5831\u30bb\u30f3\u30bf\u30fc/44\u5927\u5206\u770c/141\u5927\u5206\u5317\u90e8\u68ee\u6797\u8a08\u753b\u533aTKY2JGD/\u7b2c2\u7cfb/\u6797\u73ed\u533a\u753b.fgb"}}</t>
  </si>
  <si>
    <t>{"PARAMETERS": {"2": "'E:/G\u7a7a\u9593\u60c5\u5831\u30bb\u30f3\u30bf\u30fc/44\u5927\u5206\u770c/141\u5927\u5206\u5317\u90e8\u68ee\u6797\u8a08\u753b\u533a/\u7b2c2\u7cfb/\u5c0f\u73ed\u754c.shp'", "crsjgd2000": "QgsCoordinateReferenceSystem('EPSG:2444')"}, "OUTPUTS": {"": "E:/G\u7a7a\u9593\u60c5\u5831\u30bb\u30f3\u30bf\u30fc/44\u5927\u5206\u770c/141\u5927\u5206\u5317\u90e8\u68ee\u6797\u8a08\u753b\u533aTKY2JGD/\u7b2c2\u7cfb/\u5c0f\u73ed\u754c.fgb"}}</t>
  </si>
  <si>
    <t>{"PARAMETERS": {"2": "'E:/G\u7a7a\u9593\u60c5\u5831\u30bb\u30f3\u30bf\u30fc/44\u5927\u5206\u770c/141\u5927\u5206\u5317\u90e8\u68ee\u6797\u8a08\u753b\u533a/\u7b2c2\u7cfb/\u5c0f\u73ed\u533a\u753b.shp'", "crsjgd2000": "QgsCoordinateReferenceSystem('EPSG:2444')"}, "OUTPUTS": {"": "E:/G\u7a7a\u9593\u60c5\u5831\u30bb\u30f3\u30bf\u30fc/44\u5927\u5206\u770c/141\u5927\u5206\u5317\u90e8\u68ee\u6797\u8a08\u753b\u533aTKY2JGD/\u7b2c2\u7cfb/\u5c0f\u73ed\u533a\u753b.fgb"}}</t>
  </si>
  <si>
    <t>{"PARAMETERS": {"2": "'E:/G\u7a7a\u9593\u60c5\u5831\u30bb\u30f3\u30bf\u30fc/44\u5927\u5206\u770c/141\u5927\u5206\u5317\u90e8\u68ee\u6797\u8a08\u753b\u533a/\u7b2c2\u7cfb/\u6797\u9053.shp'", "crsjgd2000": "QgsCoordinateReferenceSystem('EPSG:2444')"}, "OUTPUTS": {"": "E:/G\u7a7a\u9593\u60c5\u5831\u30bb\u30f3\u30bf\u30fc/44\u5927\u5206\u770c/141\u5927\u5206\u5317\u90e8\u68ee\u6797\u8a08\u753b\u533aTKY2JGD/\u7b2c2\u7cfb/\u6797\u9053.fgb"}}</t>
  </si>
  <si>
    <t>{"PARAMETERS": {"2": "'E:/G\u7a7a\u9593\u60c5\u5831\u30bb\u30f3\u30bf\u30fc/44\u5927\u5206\u770c/141\u5927\u5206\u5317\u90e8\u68ee\u6797\u8a08\u753b\u533a/\u7b2c2\u7cfb/\u4f5c\u696d\u9053.shp'", "crsjgd2000": "QgsCoordinateReferenceSystem('EPSG:2444')"}, "OUTPUTS": {"": "E:/G\u7a7a\u9593\u60c5\u5831\u30bb\u30f3\u30bf\u30fc/44\u5927\u5206\u770c/141\u5927\u5206\u5317\u90e8\u68ee\u6797\u8a08\u753b\u533aTKY2JGD/\u7b2c2\u7cfb/\u4f5c\u696d\u9053.fgb"}}</t>
  </si>
  <si>
    <t>{"PARAMETERS": {"2": "'E:/G\u7a7a\u9593\u60c5\u5831\u30bb\u30f3\u30bf\u30fc/44\u5927\u5206\u770c/141\u5927\u5206\u5317\u90e8\u68ee\u6797\u8a08\u753b\u533a/\u7b2c2\u7cfb/\u7b49\u9ad8\u7dda10m\u9593\u9694.shp'", "crsjgd2000": "QgsCoordinateReferenceSystem('EPSG:2444')"}, "OUTPUTS": {"": "E:/G\u7a7a\u9593\u60c5\u5831\u30bb\u30f3\u30bf\u30fc/44\u5927\u5206\u770c/141\u5927\u5206\u5317\u90e8\u68ee\u6797\u8a08\u753b\u533aTKY2JGD/\u7b2c2\u7cfb/\u7b49\u9ad8\u7dda10m\u9593\u9694.fgb"}}</t>
  </si>
  <si>
    <t>{"PARAMETERS": {"2": "'E:/G\u7a7a\u9593\u60c5\u5831\u30bb\u30f3\u30bf\u30fc/44\u5927\u5206\u770c/142\u5927\u5206\u4e2d\u90e8\u68ee\u6797\u8a08\u753b\u533a/\u7b2c2\u7cfb/\u5883\u754c.shp'", "crsjgd2000": "QgsCoordinateReferenceSystem('EPSG:2444')"}, "OUTPUTS": {"": "E:/G\u7a7a\u9593\u60c5\u5831\u30bb\u30f3\u30bf\u30fc/44\u5927\u5206\u770c/142\u5927\u5206\u4e2d\u90e8\u68ee\u6797\u8a08\u753b\u533aTKY2JGD/\u7b2c2\u7cfb/\u5883\u754c.fgb"}}</t>
  </si>
  <si>
    <t>{"PARAMETERS": {"2": "'E:/G\u7a7a\u9593\u60c5\u5831\u30bb\u30f3\u30bf\u30fc/44\u5927\u5206\u770c/142\u5927\u5206\u4e2d\u90e8\u68ee\u6797\u8a08\u753b\u533a/\u7b2c2\u7cfb/\u6797\u73ed\u754c.shp'", "crsjgd2000": "QgsCoordinateReferenceSystem('EPSG:2444')"}, "OUTPUTS": {"": "E:/G\u7a7a\u9593\u60c5\u5831\u30bb\u30f3\u30bf\u30fc/44\u5927\u5206\u770c/142\u5927\u5206\u4e2d\u90e8\u68ee\u6797\u8a08\u753b\u533aTKY2JGD/\u7b2c2\u7cfb/\u6797\u73ed\u754c.fgb"}}</t>
  </si>
  <si>
    <t>{"PARAMETERS": {"2": "'E:/G\u7a7a\u9593\u60c5\u5831\u30bb\u30f3\u30bf\u30fc/44\u5927\u5206\u770c/142\u5927\u5206\u4e2d\u90e8\u68ee\u6797\u8a08\u753b\u533a/\u7b2c2\u7cfb/\u6797\u73ed\u533a\u753b.shp'", "crsjgd2000": "QgsCoordinateReferenceSystem('EPSG:2444')"}, "OUTPUTS": {"": "E:/G\u7a7a\u9593\u60c5\u5831\u30bb\u30f3\u30bf\u30fc/44\u5927\u5206\u770c/142\u5927\u5206\u4e2d\u90e8\u68ee\u6797\u8a08\u753b\u533aTKY2JGD/\u7b2c2\u7cfb/\u6797\u73ed\u533a\u753b.fgb"}}</t>
  </si>
  <si>
    <t>{"PARAMETERS": {"2": "'E:/G\u7a7a\u9593\u60c5\u5831\u30bb\u30f3\u30bf\u30fc/44\u5927\u5206\u770c/142\u5927\u5206\u4e2d\u90e8\u68ee\u6797\u8a08\u753b\u533a/\u7b2c2\u7cfb/\u5c0f\u73ed\u754c.shp'", "crsjgd2000": "QgsCoordinateReferenceSystem('EPSG:2444')"}, "OUTPUTS": {"": "E:/G\u7a7a\u9593\u60c5\u5831\u30bb\u30f3\u30bf\u30fc/44\u5927\u5206\u770c/142\u5927\u5206\u4e2d\u90e8\u68ee\u6797\u8a08\u753b\u533aTKY2JGD/\u7b2c2\u7cfb/\u5c0f\u73ed\u754c.fgb"}}</t>
  </si>
  <si>
    <t>{"PARAMETERS": {"2": "'E:/G\u7a7a\u9593\u60c5\u5831\u30bb\u30f3\u30bf\u30fc/44\u5927\u5206\u770c/142\u5927\u5206\u4e2d\u90e8\u68ee\u6797\u8a08\u753b\u533a/\u7b2c2\u7cfb/\u5c0f\u73ed\u533a\u753b.shp'", "crsjgd2000": "QgsCoordinateReferenceSystem('EPSG:2444')"}, "OUTPUTS": {"": "E:/G\u7a7a\u9593\u60c5\u5831\u30bb\u30f3\u30bf\u30fc/44\u5927\u5206\u770c/142\u5927\u5206\u4e2d\u90e8\u68ee\u6797\u8a08\u753b\u533aTKY2JGD/\u7b2c2\u7cfb/\u5c0f\u73ed\u533a\u753b.fgb"}}</t>
  </si>
  <si>
    <t>{"PARAMETERS": {"2": "'E:/G\u7a7a\u9593\u60c5\u5831\u30bb\u30f3\u30bf\u30fc/44\u5927\u5206\u770c/142\u5927\u5206\u4e2d\u90e8\u68ee\u6797\u8a08\u753b\u533a/\u7b2c2\u7cfb/\u6797\u9053.shp'", "crsjgd2000": "QgsCoordinateReferenceSystem('EPSG:2444')"}, "OUTPUTS": {"": "E:/G\u7a7a\u9593\u60c5\u5831\u30bb\u30f3\u30bf\u30fc/44\u5927\u5206\u770c/142\u5927\u5206\u4e2d\u90e8\u68ee\u6797\u8a08\u753b\u533aTKY2JGD/\u7b2c2\u7cfb/\u6797\u9053.fgb"}}</t>
  </si>
  <si>
    <t>{"PARAMETERS": {"2": "'E:/G\u7a7a\u9593\u60c5\u5831\u30bb\u30f3\u30bf\u30fc/44\u5927\u5206\u770c/142\u5927\u5206\u4e2d\u90e8\u68ee\u6797\u8a08\u753b\u533a/\u7b2c2\u7cfb/\u4f5c\u696d\u9053.shp'", "crsjgd2000": "QgsCoordinateReferenceSystem('EPSG:2444')"}, "OUTPUTS": {"": "E:/G\u7a7a\u9593\u60c5\u5831\u30bb\u30f3\u30bf\u30fc/44\u5927\u5206\u770c/142\u5927\u5206\u4e2d\u90e8\u68ee\u6797\u8a08\u753b\u533aTKY2JGD/\u7b2c2\u7cfb/\u4f5c\u696d\u9053.fgb"}}</t>
  </si>
  <si>
    <t>{"PARAMETERS": {"2": "'E:/G\u7a7a\u9593\u60c5\u5831\u30bb\u30f3\u30bf\u30fc/44\u5927\u5206\u770c/142\u5927\u5206\u4e2d\u90e8\u68ee\u6797\u8a08\u753b\u533a/\u7b2c2\u7cfb/\u7b49\u9ad8\u7dda10m\u9593\u9694.shp'", "crsjgd2000": "QgsCoordinateReferenceSystem('EPSG:2444')"}, "OUTPUTS": {"": "E:/G\u7a7a\u9593\u60c5\u5831\u30bb\u30f3\u30bf\u30fc/44\u5927\u5206\u770c/142\u5927\u5206\u4e2d\u90e8\u68ee\u6797\u8a08\u753b\u533aTKY2JGD/\u7b2c2\u7cfb/\u7b49\u9ad8\u7dda10m\u9593\u9694.fgb"}}</t>
  </si>
  <si>
    <t>{"PARAMETERS": {"2": "'E:/G\u7a7a\u9593\u60c5\u5831\u30bb\u30f3\u30bf\u30fc/44\u5927\u5206\u770c/143\u5927\u5206\u5357\u90e8\u68ee\u6797\u8a08\u753b\u533a/\u7b2c2\u7cfb/\u5883\u754c.shp'", "crsjgd2000": "QgsCoordinateReferenceSystem('EPSG:2444')"}, "OUTPUTS": {"": "E:/G\u7a7a\u9593\u60c5\u5831\u30bb\u30f3\u30bf\u30fc/44\u5927\u5206\u770c/143\u5927\u5206\u5357\u90e8\u68ee\u6797\u8a08\u753b\u533aTKY2JGD/\u7b2c2\u7cfb/\u5883\u754c.fgb"}}</t>
  </si>
  <si>
    <t>{"PARAMETERS": {"2": "'E:/G\u7a7a\u9593\u60c5\u5831\u30bb\u30f3\u30bf\u30fc/44\u5927\u5206\u770c/143\u5927\u5206\u5357\u90e8\u68ee\u6797\u8a08\u753b\u533a/\u7b2c2\u7cfb/\u6797\u73ed\u754c.shp'", "crsjgd2000": "QgsCoordinateReferenceSystem('EPSG:2444')"}, "OUTPUTS": {"": "E:/G\u7a7a\u9593\u60c5\u5831\u30bb\u30f3\u30bf\u30fc/44\u5927\u5206\u770c/143\u5927\u5206\u5357\u90e8\u68ee\u6797\u8a08\u753b\u533aTKY2JGD/\u7b2c2\u7cfb/\u6797\u73ed\u754c.fgb"}}</t>
  </si>
  <si>
    <t>{"PARAMETERS": {"2": "'E:/G\u7a7a\u9593\u60c5\u5831\u30bb\u30f3\u30bf\u30fc/44\u5927\u5206\u770c/143\u5927\u5206\u5357\u90e8\u68ee\u6797\u8a08\u753b\u533a/\u7b2c2\u7cfb/\u6797\u73ed\u533a\u753b.shp'", "crsjgd2000": "QgsCoordinateReferenceSystem('EPSG:2444')"}, "OUTPUTS": {"": "E:/G\u7a7a\u9593\u60c5\u5831\u30bb\u30f3\u30bf\u30fc/44\u5927\u5206\u770c/143\u5927\u5206\u5357\u90e8\u68ee\u6797\u8a08\u753b\u533aTKY2JGD/\u7b2c2\u7cfb/\u6797\u73ed\u533a\u753b.fgb"}}</t>
  </si>
  <si>
    <t>{"PARAMETERS": {"2": "'E:/G\u7a7a\u9593\u60c5\u5831\u30bb\u30f3\u30bf\u30fc/44\u5927\u5206\u770c/143\u5927\u5206\u5357\u90e8\u68ee\u6797\u8a08\u753b\u533a/\u7b2c2\u7cfb/\u5c0f\u73ed\u754c.shp'", "crsjgd2000": "QgsCoordinateReferenceSystem('EPSG:2444')"}, "OUTPUTS": {"": "E:/G\u7a7a\u9593\u60c5\u5831\u30bb\u30f3\u30bf\u30fc/44\u5927\u5206\u770c/143\u5927\u5206\u5357\u90e8\u68ee\u6797\u8a08\u753b\u533aTKY2JGD/\u7b2c2\u7cfb/\u5c0f\u73ed\u754c.fgb"}}</t>
  </si>
  <si>
    <t>{"PARAMETERS": {"2": "'E:/G\u7a7a\u9593\u60c5\u5831\u30bb\u30f3\u30bf\u30fc/44\u5927\u5206\u770c/143\u5927\u5206\u5357\u90e8\u68ee\u6797\u8a08\u753b\u533a/\u7b2c2\u7cfb/\u5c0f\u73ed\u533a\u753b.shp'", "crsjgd2000": "QgsCoordinateReferenceSystem('EPSG:2444')"}, "OUTPUTS": {"": "E:/G\u7a7a\u9593\u60c5\u5831\u30bb\u30f3\u30bf\u30fc/44\u5927\u5206\u770c/143\u5927\u5206\u5357\u90e8\u68ee\u6797\u8a08\u753b\u533aTKY2JGD/\u7b2c2\u7cfb/\u5c0f\u73ed\u533a\u753b.fgb"}}</t>
  </si>
  <si>
    <t>{"PARAMETERS": {"2": "'E:/G\u7a7a\u9593\u60c5\u5831\u30bb\u30f3\u30bf\u30fc/44\u5927\u5206\u770c/143\u5927\u5206\u5357\u90e8\u68ee\u6797\u8a08\u753b\u533a/\u7b2c2\u7cfb/\u6797\u9053.shp'", "crsjgd2000": "QgsCoordinateReferenceSystem('EPSG:2444')"}, "OUTPUTS": {"": "E:/G\u7a7a\u9593\u60c5\u5831\u30bb\u30f3\u30bf\u30fc/44\u5927\u5206\u770c/143\u5927\u5206\u5357\u90e8\u68ee\u6797\u8a08\u753b\u533aTKY2JGD/\u7b2c2\u7cfb/\u6797\u9053.fgb"}}</t>
  </si>
  <si>
    <t>{"PARAMETERS": {"2": "'E:/G\u7a7a\u9593\u60c5\u5831\u30bb\u30f3\u30bf\u30fc/44\u5927\u5206\u770c/143\u5927\u5206\u5357\u90e8\u68ee\u6797\u8a08\u753b\u533a/\u7b2c2\u7cfb/\u4f5c\u696d\u9053.shp'", "crsjgd2000": "QgsCoordinateReferenceSystem('EPSG:2444')"}, "OUTPUTS": {"": "E:/G\u7a7a\u9593\u60c5\u5831\u30bb\u30f3\u30bf\u30fc/44\u5927\u5206\u770c/143\u5927\u5206\u5357\u90e8\u68ee\u6797\u8a08\u753b\u533aTKY2JGD/\u7b2c2\u7cfb/\u4f5c\u696d\u9053.fgb"}}</t>
  </si>
  <si>
    <t>{"PARAMETERS": {"2": "'E:/G\u7a7a\u9593\u60c5\u5831\u30bb\u30f3\u30bf\u30fc/44\u5927\u5206\u770c/143\u5927\u5206\u5357\u90e8\u68ee\u6797\u8a08\u753b\u533a/\u7b2c2\u7cfb/\u7b49\u9ad8\u7dda10m\u9593\u9694.shp'", "crsjgd2000": "QgsCoordinateReferenceSystem('EPSG:2444')"}, "OUTPUTS": {"": "E:/G\u7a7a\u9593\u60c5\u5831\u30bb\u30f3\u30bf\u30fc/44\u5927\u5206\u770c/143\u5927\u5206\u5357\u90e8\u68ee\u6797\u8a08\u753b\u533aTKY2JGD/\u7b2c2\u7cfb/\u7b49\u9ad8\u7dda10m\u9593\u9694.fgb"}}</t>
  </si>
  <si>
    <t>{"PARAMETERS": {"2": "'E:/G\u7a7a\u9593\u60c5\u5831\u30bb\u30f3\u30bf\u30fc/44\u5927\u5206\u770c/144\u5927\u5206\u897f\u90e8\u68ee\u6797\u8a08\u753b\u533a/\u7b2c2\u7cfb/\u5883\u754c.shp'", "crsjgd2000": "QgsCoordinateReferenceSystem('EPSG:2444')"}, "OUTPUTS": {"": "E:/G\u7a7a\u9593\u60c5\u5831\u30bb\u30f3\u30bf\u30fc/44\u5927\u5206\u770c/144\u5927\u5206\u897f\u90e8\u68ee\u6797\u8a08\u753b\u533aTKY2JGD/\u7b2c2\u7cfb/\u5883\u754c.fgb"}}</t>
  </si>
  <si>
    <t>{"PARAMETERS": {"2": "'E:/G\u7a7a\u9593\u60c5\u5831\u30bb\u30f3\u30bf\u30fc/44\u5927\u5206\u770c/144\u5927\u5206\u897f\u90e8\u68ee\u6797\u8a08\u753b\u533a/\u7b2c2\u7cfb/\u6797\u73ed\u754c.shp'", "crsjgd2000": "QgsCoordinateReferenceSystem('EPSG:2444')"}, "OUTPUTS": {"": "E:/G\u7a7a\u9593\u60c5\u5831\u30bb\u30f3\u30bf\u30fc/44\u5927\u5206\u770c/144\u5927\u5206\u897f\u90e8\u68ee\u6797\u8a08\u753b\u533aTKY2JGD/\u7b2c2\u7cfb/\u6797\u73ed\u754c.fgb"}}</t>
  </si>
  <si>
    <t>{"PARAMETERS": {"2": "'E:/G\u7a7a\u9593\u60c5\u5831\u30bb\u30f3\u30bf\u30fc/44\u5927\u5206\u770c/144\u5927\u5206\u897f\u90e8\u68ee\u6797\u8a08\u753b\u533a/\u7b2c2\u7cfb/\u6797\u73ed\u533a\u753b.shp'", "crsjgd2000": "QgsCoordinateReferenceSystem('EPSG:2444')"}, "OUTPUTS": {"": "E:/G\u7a7a\u9593\u60c5\u5831\u30bb\u30f3\u30bf\u30fc/44\u5927\u5206\u770c/144\u5927\u5206\u897f\u90e8\u68ee\u6797\u8a08\u753b\u533aTKY2JGD/\u7b2c2\u7cfb/\u6797\u73ed\u533a\u753b.fgb"}}</t>
  </si>
  <si>
    <t>{"PARAMETERS": {"2": "'E:/G\u7a7a\u9593\u60c5\u5831\u30bb\u30f3\u30bf\u30fc/44\u5927\u5206\u770c/144\u5927\u5206\u897f\u90e8\u68ee\u6797\u8a08\u753b\u533a/\u7b2c2\u7cfb/\u5c0f\u73ed\u754c.shp'", "crsjgd2000": "QgsCoordinateReferenceSystem('EPSG:2444')"}, "OUTPUTS": {"": "E:/G\u7a7a\u9593\u60c5\u5831\u30bb\u30f3\u30bf\u30fc/44\u5927\u5206\u770c/144\u5927\u5206\u897f\u90e8\u68ee\u6797\u8a08\u753b\u533aTKY2JGD/\u7b2c2\u7cfb/\u5c0f\u73ed\u754c.fgb"}}</t>
  </si>
  <si>
    <t>{"PARAMETERS": {"2": "'E:/G\u7a7a\u9593\u60c5\u5831\u30bb\u30f3\u30bf\u30fc/44\u5927\u5206\u770c/144\u5927\u5206\u897f\u90e8\u68ee\u6797\u8a08\u753b\u533a/\u7b2c2\u7cfb/\u5c0f\u73ed\u533a\u753b.shp'", "crsjgd2000": "QgsCoordinateReferenceSystem('EPSG:2444')"}, "OUTPUTS": {"": "E:/G\u7a7a\u9593\u60c5\u5831\u30bb\u30f3\u30bf\u30fc/44\u5927\u5206\u770c/144\u5927\u5206\u897f\u90e8\u68ee\u6797\u8a08\u753b\u533aTKY2JGD/\u7b2c2\u7cfb/\u5c0f\u73ed\u533a\u753b.fgb"}}</t>
  </si>
  <si>
    <t>{"PARAMETERS": {"2": "'E:/G\u7a7a\u9593\u60c5\u5831\u30bb\u30f3\u30bf\u30fc/44\u5927\u5206\u770c/144\u5927\u5206\u897f\u90e8\u68ee\u6797\u8a08\u753b\u533a/\u7b2c2\u7cfb/\u6797\u9053.shp'", "crsjgd2000": "QgsCoordinateReferenceSystem('EPSG:2444')"}, "OUTPUTS": {"": "E:/G\u7a7a\u9593\u60c5\u5831\u30bb\u30f3\u30bf\u30fc/44\u5927\u5206\u770c/144\u5927\u5206\u897f\u90e8\u68ee\u6797\u8a08\u753b\u533aTKY2JGD/\u7b2c2\u7cfb/\u6797\u9053.fgb"}}</t>
  </si>
  <si>
    <t>{"PARAMETERS": {"2": "'E:/G\u7a7a\u9593\u60c5\u5831\u30bb\u30f3\u30bf\u30fc/44\u5927\u5206\u770c/144\u5927\u5206\u897f\u90e8\u68ee\u6797\u8a08\u753b\u533a/\u7b2c2\u7cfb/\u4f5c\u696d\u9053.shp'", "crsjgd2000": "QgsCoordinateReferenceSystem('EPSG:2444')"}, "OUTPUTS": {"": "E:/G\u7a7a\u9593\u60c5\u5831\u30bb\u30f3\u30bf\u30fc/44\u5927\u5206\u770c/144\u5927\u5206\u897f\u90e8\u68ee\u6797\u8a08\u753b\u533aTKY2JGD/\u7b2c2\u7cfb/\u4f5c\u696d\u9053.fgb"}}</t>
  </si>
  <si>
    <t>{"PARAMETERS": {"2": "'E:/G\u7a7a\u9593\u60c5\u5831\u30bb\u30f3\u30bf\u30fc/44\u5927\u5206\u770c/144\u5927\u5206\u897f\u90e8\u68ee\u6797\u8a08\u753b\u533a/\u7b2c2\u7cfb/\u7b49\u9ad8\u7dda10m\u9593\u9694.shp'", "crsjgd2000": "QgsCoordinateReferenceSystem('EPSG:2444')"}, "OUTPUTS": {"": "E:/G\u7a7a\u9593\u60c5\u5831\u30bb\u30f3\u30bf\u30fc/44\u5927\u5206\u770c/144\u5927\u5206\u897f\u90e8\u68ee\u6797\u8a08\u753b\u533aTKY2JGD/\u7b2c2\u7cfb/\u7b49\u9ad8\u7dda10m\u9593\u9694.fgb"}}</t>
  </si>
  <si>
    <t>{"PARAMETERS": {"2": "'E:/G\u7a7a\u9593\u60c5\u5831\u30bb\u30f3\u30bf\u30fc/45\u5bae\u5d0e\u770c/145\u4e94\u30f6\u702c\u5ddd\u68ee\u6797\u8a08\u753b\u533a/\u7b2c2\u7cfb/\u5883\u754c.shp'", "crsjgd2000": "QgsCoordinateReferenceSystem('EPSG:2444')"}, "OUTPUTS": {"": "E:/G\u7a7a\u9593\u60c5\u5831\u30bb\u30f3\u30bf\u30fc/45\u5bae\u5d0e\u770c/145\u4e94\u30f6\u702c\u5ddd\u68ee\u6797\u8a08\u753b\u533aTKY2JGD/\u7b2c2\u7cfb/\u5883\u754c.fgb"}}</t>
  </si>
  <si>
    <t>{"PARAMETERS": {"2": "'E:/G\u7a7a\u9593\u60c5\u5831\u30bb\u30f3\u30bf\u30fc/45\u5bae\u5d0e\u770c/145\u4e94\u30f6\u702c\u5ddd\u68ee\u6797\u8a08\u753b\u533a/\u7b2c2\u7cfb/\u6797\u73ed\u754c.shp'", "crsjgd2000": "QgsCoordinateReferenceSystem('EPSG:2444')"}, "OUTPUTS": {"": "E:/G\u7a7a\u9593\u60c5\u5831\u30bb\u30f3\u30bf\u30fc/45\u5bae\u5d0e\u770c/145\u4e94\u30f6\u702c\u5ddd\u68ee\u6797\u8a08\u753b\u533aTKY2JGD/\u7b2c2\u7cfb/\u6797\u73ed\u754c.fgb"}}</t>
  </si>
  <si>
    <t>{"PARAMETERS": {"2": "'E:/G\u7a7a\u9593\u60c5\u5831\u30bb\u30f3\u30bf\u30fc/45\u5bae\u5d0e\u770c/145\u4e94\u30f6\u702c\u5ddd\u68ee\u6797\u8a08\u753b\u533a/\u7b2c2\u7cfb/\u6797\u73ed\u533a\u753b.shp'", "crsjgd2000": "QgsCoordinateReferenceSystem('EPSG:2444')"}, "OUTPUTS": {"": "E:/G\u7a7a\u9593\u60c5\u5831\u30bb\u30f3\u30bf\u30fc/45\u5bae\u5d0e\u770c/145\u4e94\u30f6\u702c\u5ddd\u68ee\u6797\u8a08\u753b\u533aTKY2JGD/\u7b2c2\u7cfb/\u6797\u73ed\u533a\u753b.fgb"}}</t>
  </si>
  <si>
    <t>{"PARAMETERS": {"2": "'E:/G\u7a7a\u9593\u60c5\u5831\u30bb\u30f3\u30bf\u30fc/45\u5bae\u5d0e\u770c/145\u4e94\u30f6\u702c\u5ddd\u68ee\u6797\u8a08\u753b\u533a/\u7b2c2\u7cfb/\u5c0f\u73ed\u754c.shp'", "crsjgd2000": "QgsCoordinateReferenceSystem('EPSG:2444')"}, "OUTPUTS": {"": "E:/G\u7a7a\u9593\u60c5\u5831\u30bb\u30f3\u30bf\u30fc/45\u5bae\u5d0e\u770c/145\u4e94\u30f6\u702c\u5ddd\u68ee\u6797\u8a08\u753b\u533aTKY2JGD/\u7b2c2\u7cfb/\u5c0f\u73ed\u754c.fgb"}}</t>
  </si>
  <si>
    <t>{"PARAMETERS": {"2": "'E:/G\u7a7a\u9593\u60c5\u5831\u30bb\u30f3\u30bf\u30fc/45\u5bae\u5d0e\u770c/145\u4e94\u30f6\u702c\u5ddd\u68ee\u6797\u8a08\u753b\u533a/\u7b2c2\u7cfb/\u5c0f\u73ed\u533a\u753b.shp'", "crsjgd2000": "QgsCoordinateReferenceSystem('EPSG:2444')"}, "OUTPUTS": {"": "E:/G\u7a7a\u9593\u60c5\u5831\u30bb\u30f3\u30bf\u30fc/45\u5bae\u5d0e\u770c/145\u4e94\u30f6\u702c\u5ddd\u68ee\u6797\u8a08\u753b\u533aTKY2JGD/\u7b2c2\u7cfb/\u5c0f\u73ed\u533a\u753b.fgb"}}</t>
  </si>
  <si>
    <t>{"PARAMETERS": {"2": "'E:/G\u7a7a\u9593\u60c5\u5831\u30bb\u30f3\u30bf\u30fc/45\u5bae\u5d0e\u770c/145\u4e94\u30f6\u702c\u5ddd\u68ee\u6797\u8a08\u753b\u533a/\u7b2c2\u7cfb/\u6797\u9053.shp'", "crsjgd2000": "QgsCoordinateReferenceSystem('EPSG:2444')"}, "OUTPUTS": {"": "E:/G\u7a7a\u9593\u60c5\u5831\u30bb\u30f3\u30bf\u30fc/45\u5bae\u5d0e\u770c/145\u4e94\u30f6\u702c\u5ddd\u68ee\u6797\u8a08\u753b\u533aTKY2JGD/\u7b2c2\u7cfb/\u6797\u9053.fgb"}}</t>
  </si>
  <si>
    <t>{"PARAMETERS": {"2": "'E:/G\u7a7a\u9593\u60c5\u5831\u30bb\u30f3\u30bf\u30fc/45\u5bae\u5d0e\u770c/145\u4e94\u30f6\u702c\u5ddd\u68ee\u6797\u8a08\u753b\u533a/\u7b2c2\u7cfb/\u4f5c\u696d\u9053.shp'", "crsjgd2000": "QgsCoordinateReferenceSystem('EPSG:2444')"}, "OUTPUTS": {"": "E:/G\u7a7a\u9593\u60c5\u5831\u30bb\u30f3\u30bf\u30fc/45\u5bae\u5d0e\u770c/145\u4e94\u30f6\u702c\u5ddd\u68ee\u6797\u8a08\u753b\u533aTKY2JGD/\u7b2c2\u7cfb/\u4f5c\u696d\u9053.fgb"}}</t>
  </si>
  <si>
    <t>{"PARAMETERS": {"2": "'E:/G\u7a7a\u9593\u60c5\u5831\u30bb\u30f3\u30bf\u30fc/45\u5bae\u5d0e\u770c/145\u4e94\u30f6\u702c\u5ddd\u68ee\u6797\u8a08\u753b\u533a/\u7b2c2\u7cfb/\u7b49\u9ad8\u7dda10m\u9593\u9694.shp'", "crsjgd2000": "QgsCoordinateReferenceSystem('EPSG:2444')"}, "OUTPUTS": {"": "E:/G\u7a7a\u9593\u60c5\u5831\u30bb\u30f3\u30bf\u30fc/45\u5bae\u5d0e\u770c/145\u4e94\u30f6\u702c\u5ddd\u68ee\u6797\u8a08\u753b\u533aTKY2JGD/\u7b2c2\u7cfb/\u7b49\u9ad8\u7dda10m\u9593\u9694.fgb"}}</t>
  </si>
  <si>
    <t>{"PARAMETERS": {"2": "'E:/G\u7a7a\u9593\u60c5\u5831\u30bb\u30f3\u30bf\u30fc/45\u5bae\u5d0e\u770c/146\u8033\u5ddd\u68ee\u6797\u8a08\u753b\u533a/\u7b2c2\u7cfb/\u5883\u754c.shp'", "crsjgd2000": "QgsCoordinateReferenceSystem('EPSG:2444')"}, "OUTPUTS": {"": "E:/G\u7a7a\u9593\u60c5\u5831\u30bb\u30f3\u30bf\u30fc/45\u5bae\u5d0e\u770c/146\u8033\u5ddd\u68ee\u6797\u8a08\u753b\u533aTKY2JGD/\u7b2c2\u7cfb/\u5883\u754c.fgb"}}</t>
  </si>
  <si>
    <t>{"PARAMETERS": {"2": "'E:/G\u7a7a\u9593\u60c5\u5831\u30bb\u30f3\u30bf\u30fc/45\u5bae\u5d0e\u770c/146\u8033\u5ddd\u68ee\u6797\u8a08\u753b\u533a/\u7b2c2\u7cfb/\u6797\u73ed\u754c.shp'", "crsjgd2000": "QgsCoordinateReferenceSystem('EPSG:2444')"}, "OUTPUTS": {"": "E:/G\u7a7a\u9593\u60c5\u5831\u30bb\u30f3\u30bf\u30fc/45\u5bae\u5d0e\u770c/146\u8033\u5ddd\u68ee\u6797\u8a08\u753b\u533aTKY2JGD/\u7b2c2\u7cfb/\u6797\u73ed\u754c.fgb"}}</t>
  </si>
  <si>
    <t>{"PARAMETERS": {"2": "'E:/G\u7a7a\u9593\u60c5\u5831\u30bb\u30f3\u30bf\u30fc/45\u5bae\u5d0e\u770c/146\u8033\u5ddd\u68ee\u6797\u8a08\u753b\u533a/\u7b2c2\u7cfb/\u6797\u73ed\u533a\u753b.shp'", "crsjgd2000": "QgsCoordinateReferenceSystem('EPSG:2444')"}, "OUTPUTS": {"": "E:/G\u7a7a\u9593\u60c5\u5831\u30bb\u30f3\u30bf\u30fc/45\u5bae\u5d0e\u770c/146\u8033\u5ddd\u68ee\u6797\u8a08\u753b\u533aTKY2JGD/\u7b2c2\u7cfb/\u6797\u73ed\u533a\u753b.fgb"}}</t>
  </si>
  <si>
    <t>{"PARAMETERS": {"2": "'E:/G\u7a7a\u9593\u60c5\u5831\u30bb\u30f3\u30bf\u30fc/45\u5bae\u5d0e\u770c/146\u8033\u5ddd\u68ee\u6797\u8a08\u753b\u533a/\u7b2c2\u7cfb/\u5c0f\u73ed\u754c.shp'", "crsjgd2000": "QgsCoordinateReferenceSystem('EPSG:2444')"}, "OUTPUTS": {"": "E:/G\u7a7a\u9593\u60c5\u5831\u30bb\u30f3\u30bf\u30fc/45\u5bae\u5d0e\u770c/146\u8033\u5ddd\u68ee\u6797\u8a08\u753b\u533aTKY2JGD/\u7b2c2\u7cfb/\u5c0f\u73ed\u754c.fgb"}}</t>
  </si>
  <si>
    <t>{"PARAMETERS": {"2": "'E:/G\u7a7a\u9593\u60c5\u5831\u30bb\u30f3\u30bf\u30fc/45\u5bae\u5d0e\u770c/146\u8033\u5ddd\u68ee\u6797\u8a08\u753b\u533a/\u7b2c2\u7cfb/\u5c0f\u73ed\u533a\u753b.shp'", "crsjgd2000": "QgsCoordinateReferenceSystem('EPSG:2444')"}, "OUTPUTS": {"": "E:/G\u7a7a\u9593\u60c5\u5831\u30bb\u30f3\u30bf\u30fc/45\u5bae\u5d0e\u770c/146\u8033\u5ddd\u68ee\u6797\u8a08\u753b\u533aTKY2JGD/\u7b2c2\u7cfb/\u5c0f\u73ed\u533a\u753b.fgb"}}</t>
  </si>
  <si>
    <t>{"PARAMETERS": {"2": "'E:/G\u7a7a\u9593\u60c5\u5831\u30bb\u30f3\u30bf\u30fc/45\u5bae\u5d0e\u770c/146\u8033\u5ddd\u68ee\u6797\u8a08\u753b\u533a/\u7b2c2\u7cfb/\u6797\u9053.shp'", "crsjgd2000": "QgsCoordinateReferenceSystem('EPSG:2444')"}, "OUTPUTS": {"": "E:/G\u7a7a\u9593\u60c5\u5831\u30bb\u30f3\u30bf\u30fc/45\u5bae\u5d0e\u770c/146\u8033\u5ddd\u68ee\u6797\u8a08\u753b\u533aTKY2JGD/\u7b2c2\u7cfb/\u6797\u9053.fgb"}}</t>
  </si>
  <si>
    <t>{"PARAMETERS": {"2": "'E:/G\u7a7a\u9593\u60c5\u5831\u30bb\u30f3\u30bf\u30fc/45\u5bae\u5d0e\u770c/146\u8033\u5ddd\u68ee\u6797\u8a08\u753b\u533a/\u7b2c2\u7cfb/\u4f5c\u696d\u9053.shp'", "crsjgd2000": "QgsCoordinateReferenceSystem('EPSG:2444')"}, "OUTPUTS": {"": "E:/G\u7a7a\u9593\u60c5\u5831\u30bb\u30f3\u30bf\u30fc/45\u5bae\u5d0e\u770c/146\u8033\u5ddd\u68ee\u6797\u8a08\u753b\u533aTKY2JGD/\u7b2c2\u7cfb/\u4f5c\u696d\u9053.fgb"}}</t>
  </si>
  <si>
    <t>{"PARAMETERS": {"2": "'E:/G\u7a7a\u9593\u60c5\u5831\u30bb\u30f3\u30bf\u30fc/45\u5bae\u5d0e\u770c/146\u8033\u5ddd\u68ee\u6797\u8a08\u753b\u533a/\u7b2c2\u7cfb/\u7b49\u9ad8\u7dda10m\u9593\u9694.shp'", "crsjgd2000": "QgsCoordinateReferenceSystem('EPSG:2444')"}, "OUTPUTS": {"": "E:/G\u7a7a\u9593\u60c5\u5831\u30bb\u30f3\u30bf\u30fc/45\u5bae\u5d0e\u770c/146\u8033\u5ddd\u68ee\u6797\u8a08\u753b\u533aTKY2JGD/\u7b2c2\u7cfb/\u7b49\u9ad8\u7dda10m\u9593\u9694.fgb"}}</t>
  </si>
  <si>
    <t>{"PARAMETERS": {"2": "'E:/G\u7a7a\u9593\u60c5\u5831\u30bb\u30f3\u30bf\u30fc/45\u5bae\u5d0e\u770c/147\u4e00\u30c4\u702c\u5ddd\u68ee\u6797\u8a08\u753b\u533a/\u7b2c2\u7cfb/\u5883\u754c.shp'", "crsjgd2000": "QgsCoordinateReferenceSystem('EPSG:2444')"}, "OUTPUTS": {"": "E:/G\u7a7a\u9593\u60c5\u5831\u30bb\u30f3\u30bf\u30fc/45\u5bae\u5d0e\u770c/147\u4e00\u30c4\u702c\u5ddd\u68ee\u6797\u8a08\u753b\u533aTKY2JGD/\u7b2c2\u7cfb/\u5883\u754c.fgb"}}</t>
  </si>
  <si>
    <t>{"PARAMETERS": {"2": "'E:/G\u7a7a\u9593\u60c5\u5831\u30bb\u30f3\u30bf\u30fc/45\u5bae\u5d0e\u770c/147\u4e00\u30c4\u702c\u5ddd\u68ee\u6797\u8a08\u753b\u533a/\u7b2c2\u7cfb/\u6797\u73ed\u754c.shp'", "crsjgd2000": "QgsCoordinateReferenceSystem('EPSG:2444')"}, "OUTPUTS": {"": "E:/G\u7a7a\u9593\u60c5\u5831\u30bb\u30f3\u30bf\u30fc/45\u5bae\u5d0e\u770c/147\u4e00\u30c4\u702c\u5ddd\u68ee\u6797\u8a08\u753b\u533aTKY2JGD/\u7b2c2\u7cfb/\u6797\u73ed\u754c.fgb"}}</t>
  </si>
  <si>
    <t>{"PARAMETERS": {"2": "'E:/G\u7a7a\u9593\u60c5\u5831\u30bb\u30f3\u30bf\u30fc/45\u5bae\u5d0e\u770c/147\u4e00\u30c4\u702c\u5ddd\u68ee\u6797\u8a08\u753b\u533a/\u7b2c2\u7cfb/\u6797\u73ed\u533a\u753b.shp'", "crsjgd2000": "QgsCoordinateReferenceSystem('EPSG:2444')"}, "OUTPUTS": {"": "E:/G\u7a7a\u9593\u60c5\u5831\u30bb\u30f3\u30bf\u30fc/45\u5bae\u5d0e\u770c/147\u4e00\u30c4\u702c\u5ddd\u68ee\u6797\u8a08\u753b\u533aTKY2JGD/\u7b2c2\u7cfb/\u6797\u73ed\u533a\u753b.fgb"}}</t>
  </si>
  <si>
    <t>{"PARAMETERS": {"2": "'E:/G\u7a7a\u9593\u60c5\u5831\u30bb\u30f3\u30bf\u30fc/45\u5bae\u5d0e\u770c/147\u4e00\u30c4\u702c\u5ddd\u68ee\u6797\u8a08\u753b\u533a/\u7b2c2\u7cfb/\u5c0f\u73ed\u754c.shp'", "crsjgd2000": "QgsCoordinateReferenceSystem('EPSG:2444')"}, "OUTPUTS": {"": "E:/G\u7a7a\u9593\u60c5\u5831\u30bb\u30f3\u30bf\u30fc/45\u5bae\u5d0e\u770c/147\u4e00\u30c4\u702c\u5ddd\u68ee\u6797\u8a08\u753b\u533aTKY2JGD/\u7b2c2\u7cfb/\u5c0f\u73ed\u754c.fgb"}}</t>
  </si>
  <si>
    <t>{"PARAMETERS": {"2": "'E:/G\u7a7a\u9593\u60c5\u5831\u30bb\u30f3\u30bf\u30fc/45\u5bae\u5d0e\u770c/147\u4e00\u30c4\u702c\u5ddd\u68ee\u6797\u8a08\u753b\u533a/\u7b2c2\u7cfb/\u5c0f\u73ed\u533a\u753b.shp'", "crsjgd2000": "QgsCoordinateReferenceSystem('EPSG:2444')"}, "OUTPUTS": {"": "E:/G\u7a7a\u9593\u60c5\u5831\u30bb\u30f3\u30bf\u30fc/45\u5bae\u5d0e\u770c/147\u4e00\u30c4\u702c\u5ddd\u68ee\u6797\u8a08\u753b\u533aTKY2JGD/\u7b2c2\u7cfb/\u5c0f\u73ed\u533a\u753b.fgb"}}</t>
  </si>
  <si>
    <t>{"PARAMETERS": {"2": "'E:/G\u7a7a\u9593\u60c5\u5831\u30bb\u30f3\u30bf\u30fc/45\u5bae\u5d0e\u770c/147\u4e00\u30c4\u702c\u5ddd\u68ee\u6797\u8a08\u753b\u533a/\u7b2c2\u7cfb/\u6797\u9053.shp'", "crsjgd2000": "QgsCoordinateReferenceSystem('EPSG:2444')"}, "OUTPUTS": {"": "E:/G\u7a7a\u9593\u60c5\u5831\u30bb\u30f3\u30bf\u30fc/45\u5bae\u5d0e\u770c/147\u4e00\u30c4\u702c\u5ddd\u68ee\u6797\u8a08\u753b\u533aTKY2JGD/\u7b2c2\u7cfb/\u6797\u9053.fgb"}}</t>
  </si>
  <si>
    <t>{"PARAMETERS": {"2": "'E:/G\u7a7a\u9593\u60c5\u5831\u30bb\u30f3\u30bf\u30fc/45\u5bae\u5d0e\u770c/147\u4e00\u30c4\u702c\u5ddd\u68ee\u6797\u8a08\u753b\u533a/\u7b2c2\u7cfb/\u4f5c\u696d\u9053.shp'", "crsjgd2000": "QgsCoordinateReferenceSystem('EPSG:2444')"}, "OUTPUTS": {"": "E:/G\u7a7a\u9593\u60c5\u5831\u30bb\u30f3\u30bf\u30fc/45\u5bae\u5d0e\u770c/147\u4e00\u30c4\u702c\u5ddd\u68ee\u6797\u8a08\u753b\u533aTKY2JGD/\u7b2c2\u7cfb/\u4f5c\u696d\u9053.fgb"}}</t>
  </si>
  <si>
    <t>{"PARAMETERS": {"2": "'E:/G\u7a7a\u9593\u60c5\u5831\u30bb\u30f3\u30bf\u30fc/45\u5bae\u5d0e\u770c/147\u4e00\u30c4\u702c\u5ddd\u68ee\u6797\u8a08\u753b\u533a/\u7b2c2\u7cfb/\u7b49\u9ad8\u7dda10m\u9593\u9694.shp'", "crsjgd2000": "QgsCoordinateReferenceSystem('EPSG:2444')"}, "OUTPUTS": {"": "E:/G\u7a7a\u9593\u60c5\u5831\u30bb\u30f3\u30bf\u30fc/45\u5bae\u5d0e\u770c/147\u4e00\u30c4\u702c\u5ddd\u68ee\u6797\u8a08\u753b\u533aTKY2JGD/\u7b2c2\u7cfb/\u7b49\u9ad8\u7dda10m\u9593\u9694.fgb"}}</t>
  </si>
  <si>
    <t>{"PARAMETERS": {"2": "'E:/G\u7a7a\u9593\u60c5\u5831\u30bb\u30f3\u30bf\u30fc/45\u5bae\u5d0e\u770c/148\u5927\u6dc0\u5ddd\u68ee\u6797\u8a08\u753b\u533a/\u7b2c2\u7cfb/\u5883\u754c.shp'", "crsjgd2000": "QgsCoordinateReferenceSystem('EPSG:2444')"}, "OUTPUTS": {"": "E:/G\u7a7a\u9593\u60c5\u5831\u30bb\u30f3\u30bf\u30fc/45\u5bae\u5d0e\u770c/148\u5927\u6dc0\u5ddd\u68ee\u6797\u8a08\u753b\u533aTKY2JGD/\u7b2c2\u7cfb/\u5883\u754c.fgb"}}</t>
  </si>
  <si>
    <t>{"PARAMETERS": {"2": "'E:/G\u7a7a\u9593\u60c5\u5831\u30bb\u30f3\u30bf\u30fc/45\u5bae\u5d0e\u770c/148\u5927\u6dc0\u5ddd\u68ee\u6797\u8a08\u753b\u533a/\u7b2c2\u7cfb/\u6797\u73ed\u754c.shp'", "crsjgd2000": "QgsCoordinateReferenceSystem('EPSG:2444')"}, "OUTPUTS": {"": "E:/G\u7a7a\u9593\u60c5\u5831\u30bb\u30f3\u30bf\u30fc/45\u5bae\u5d0e\u770c/148\u5927\u6dc0\u5ddd\u68ee\u6797\u8a08\u753b\u533aTKY2JGD/\u7b2c2\u7cfb/\u6797\u73ed\u754c.fgb"}}</t>
  </si>
  <si>
    <t>{"PARAMETERS": {"2": "'E:/G\u7a7a\u9593\u60c5\u5831\u30bb\u30f3\u30bf\u30fc/45\u5bae\u5d0e\u770c/148\u5927\u6dc0\u5ddd\u68ee\u6797\u8a08\u753b\u533a/\u7b2c2\u7cfb/\u6797\u73ed\u533a\u753b.shp'", "crsjgd2000": "QgsCoordinateReferenceSystem('EPSG:2444')"}, "OUTPUTS": {"": "E:/G\u7a7a\u9593\u60c5\u5831\u30bb\u30f3\u30bf\u30fc/45\u5bae\u5d0e\u770c/148\u5927\u6dc0\u5ddd\u68ee\u6797\u8a08\u753b\u533aTKY2JGD/\u7b2c2\u7cfb/\u6797\u73ed\u533a\u753b.fgb"}}</t>
  </si>
  <si>
    <t>{"PARAMETERS": {"2": "'E:/G\u7a7a\u9593\u60c5\u5831\u30bb\u30f3\u30bf\u30fc/45\u5bae\u5d0e\u770c/148\u5927\u6dc0\u5ddd\u68ee\u6797\u8a08\u753b\u533a/\u7b2c2\u7cfb/\u5c0f\u73ed\u754c.shp'", "crsjgd2000": "QgsCoordinateReferenceSystem('EPSG:2444')"}, "OUTPUTS": {"": "E:/G\u7a7a\u9593\u60c5\u5831\u30bb\u30f3\u30bf\u30fc/45\u5bae\u5d0e\u770c/148\u5927\u6dc0\u5ddd\u68ee\u6797\u8a08\u753b\u533aTKY2JGD/\u7b2c2\u7cfb/\u5c0f\u73ed\u754c.fgb"}}</t>
  </si>
  <si>
    <t>{"PARAMETERS": {"2": "'E:/G\u7a7a\u9593\u60c5\u5831\u30bb\u30f3\u30bf\u30fc/45\u5bae\u5d0e\u770c/148\u5927\u6dc0\u5ddd\u68ee\u6797\u8a08\u753b\u533a/\u7b2c2\u7cfb/\u5c0f\u73ed\u533a\u753b.shp'", "crsjgd2000": "QgsCoordinateReferenceSystem('EPSG:2444')"}, "OUTPUTS": {"": "E:/G\u7a7a\u9593\u60c5\u5831\u30bb\u30f3\u30bf\u30fc/45\u5bae\u5d0e\u770c/148\u5927\u6dc0\u5ddd\u68ee\u6797\u8a08\u753b\u533aTKY2JGD/\u7b2c2\u7cfb/\u5c0f\u73ed\u533a\u753b.fgb"}}</t>
  </si>
  <si>
    <t>{"PARAMETERS": {"2": "'E:/G\u7a7a\u9593\u60c5\u5831\u30bb\u30f3\u30bf\u30fc/45\u5bae\u5d0e\u770c/148\u5927\u6dc0\u5ddd\u68ee\u6797\u8a08\u753b\u533a/\u7b2c2\u7cfb/\u6797\u9053.shp'", "crsjgd2000": "QgsCoordinateReferenceSystem('EPSG:2444')"}, "OUTPUTS": {"": "E:/G\u7a7a\u9593\u60c5\u5831\u30bb\u30f3\u30bf\u30fc/45\u5bae\u5d0e\u770c/148\u5927\u6dc0\u5ddd\u68ee\u6797\u8a08\u753b\u533aTKY2JGD/\u7b2c2\u7cfb/\u6797\u9053.fgb"}}</t>
  </si>
  <si>
    <t>{"PARAMETERS": {"2": "'E:/G\u7a7a\u9593\u60c5\u5831\u30bb\u30f3\u30bf\u30fc/45\u5bae\u5d0e\u770c/148\u5927\u6dc0\u5ddd\u68ee\u6797\u8a08\u753b\u533a/\u7b2c2\u7cfb/\u4f5c\u696d\u9053.shp'", "crsjgd2000": "QgsCoordinateReferenceSystem('EPSG:2444')"}, "OUTPUTS": {"": "E:/G\u7a7a\u9593\u60c5\u5831\u30bb\u30f3\u30bf\u30fc/45\u5bae\u5d0e\u770c/148\u5927\u6dc0\u5ddd\u68ee\u6797\u8a08\u753b\u533aTKY2JGD/\u7b2c2\u7cfb/\u4f5c\u696d\u9053.fgb"}}</t>
  </si>
  <si>
    <t>{"PARAMETERS": {"2": "'E:/G\u7a7a\u9593\u60c5\u5831\u30bb\u30f3\u30bf\u30fc/45\u5bae\u5d0e\u770c/148\u5927\u6dc0\u5ddd\u68ee\u6797\u8a08\u753b\u533a/\u7b2c2\u7cfb/\u7b49\u9ad8\u7dda10m\u9593\u9694.shp'", "crsjgd2000": "QgsCoordinateReferenceSystem('EPSG:2444')"}, "OUTPUTS": {"": "E:/G\u7a7a\u9593\u60c5\u5831\u30bb\u30f3\u30bf\u30fc/45\u5bae\u5d0e\u770c/148\u5927\u6dc0\u5ddd\u68ee\u6797\u8a08\u753b\u533aTKY2JGD/\u7b2c2\u7cfb/\u7b49\u9ad8\u7dda10m\u9593\u9694.fgb"}}</t>
  </si>
  <si>
    <t>{"PARAMETERS": {"2": "'E:/G\u7a7a\u9593\u60c5\u5831\u30bb\u30f3\u30bf\u30fc/45\u5bae\u5d0e\u770c/149\u5e83\u6e21\u5ddd\u68ee\u6797\u8a08\u753b\u533a/\u7b2c2\u7cfb/\u5883\u754c.shp'", "crsjgd2000": "QgsCoordinateReferenceSystem('EPSG:2444')"}, "OUTPUTS": {"": "E:/G\u7a7a\u9593\u60c5\u5831\u30bb\u30f3\u30bf\u30fc/45\u5bae\u5d0e\u770c/149\u5e83\u6e21\u5ddd\u68ee\u6797\u8a08\u753b\u533aTKY2JGD/\u7b2c2\u7cfb/\u5883\u754c.fgb"}}</t>
  </si>
  <si>
    <t>{"PARAMETERS": {"2": "'E:/G\u7a7a\u9593\u60c5\u5831\u30bb\u30f3\u30bf\u30fc/45\u5bae\u5d0e\u770c/149\u5e83\u6e21\u5ddd\u68ee\u6797\u8a08\u753b\u533a/\u7b2c2\u7cfb/\u6797\u73ed\u754c.shp'", "crsjgd2000": "QgsCoordinateReferenceSystem('EPSG:2444')"}, "OUTPUTS": {"": "E:/G\u7a7a\u9593\u60c5\u5831\u30bb\u30f3\u30bf\u30fc/45\u5bae\u5d0e\u770c/149\u5e83\u6e21\u5ddd\u68ee\u6797\u8a08\u753b\u533aTKY2JGD/\u7b2c2\u7cfb/\u6797\u73ed\u754c.fgb"}}</t>
  </si>
  <si>
    <t>{"PARAMETERS": {"2": "'E:/G\u7a7a\u9593\u60c5\u5831\u30bb\u30f3\u30bf\u30fc/45\u5bae\u5d0e\u770c/149\u5e83\u6e21\u5ddd\u68ee\u6797\u8a08\u753b\u533a/\u7b2c2\u7cfb/\u6797\u73ed\u533a\u753b.shp'", "crsjgd2000": "QgsCoordinateReferenceSystem('EPSG:2444')"}, "OUTPUTS": {"": "E:/G\u7a7a\u9593\u60c5\u5831\u30bb\u30f3\u30bf\u30fc/45\u5bae\u5d0e\u770c/149\u5e83\u6e21\u5ddd\u68ee\u6797\u8a08\u753b\u533aTKY2JGD/\u7b2c2\u7cfb/\u6797\u73ed\u533a\u753b.fgb"}}</t>
  </si>
  <si>
    <t>{"PARAMETERS": {"2": "'E:/G\u7a7a\u9593\u60c5\u5831\u30bb\u30f3\u30bf\u30fc/45\u5bae\u5d0e\u770c/149\u5e83\u6e21\u5ddd\u68ee\u6797\u8a08\u753b\u533a/\u7b2c2\u7cfb/\u5c0f\u73ed\u754c.shp'", "crsjgd2000": "QgsCoordinateReferenceSystem('EPSG:2444')"}, "OUTPUTS": {"": "E:/G\u7a7a\u9593\u60c5\u5831\u30bb\u30f3\u30bf\u30fc/45\u5bae\u5d0e\u770c/149\u5e83\u6e21\u5ddd\u68ee\u6797\u8a08\u753b\u533aTKY2JGD/\u7b2c2\u7cfb/\u5c0f\u73ed\u754c.fgb"}}</t>
  </si>
  <si>
    <t>{"PARAMETERS": {"2": "'E:/G\u7a7a\u9593\u60c5\u5831\u30bb\u30f3\u30bf\u30fc/45\u5bae\u5d0e\u770c/149\u5e83\u6e21\u5ddd\u68ee\u6797\u8a08\u753b\u533a/\u7b2c2\u7cfb/\u5c0f\u73ed\u533a\u753b.shp'", "crsjgd2000": "QgsCoordinateReferenceSystem('EPSG:2444')"}, "OUTPUTS": {"": "E:/G\u7a7a\u9593\u60c5\u5831\u30bb\u30f3\u30bf\u30fc/45\u5bae\u5d0e\u770c/149\u5e83\u6e21\u5ddd\u68ee\u6797\u8a08\u753b\u533aTKY2JGD/\u7b2c2\u7cfb/\u5c0f\u73ed\u533a\u753b.fgb"}}</t>
  </si>
  <si>
    <t>{"PARAMETERS": {"2": "'E:/G\u7a7a\u9593\u60c5\u5831\u30bb\u30f3\u30bf\u30fc/45\u5bae\u5d0e\u770c/149\u5e83\u6e21\u5ddd\u68ee\u6797\u8a08\u753b\u533a/\u7b2c2\u7cfb/\u6797\u9053.shp'", "crsjgd2000": "QgsCoordinateReferenceSystem('EPSG:2444')"}, "OUTPUTS": {"": "E:/G\u7a7a\u9593\u60c5\u5831\u30bb\u30f3\u30bf\u30fc/45\u5bae\u5d0e\u770c/149\u5e83\u6e21\u5ddd\u68ee\u6797\u8a08\u753b\u533aTKY2JGD/\u7b2c2\u7cfb/\u6797\u9053.fgb"}}</t>
  </si>
  <si>
    <t>{"PARAMETERS": {"2": "'E:/G\u7a7a\u9593\u60c5\u5831\u30bb\u30f3\u30bf\u30fc/45\u5bae\u5d0e\u770c/149\u5e83\u6e21\u5ddd\u68ee\u6797\u8a08\u753b\u533a/\u7b2c2\u7cfb/\u4f5c\u696d\u9053.shp'", "crsjgd2000": "QgsCoordinateReferenceSystem('EPSG:2444')"}, "OUTPUTS": {"": "E:/G\u7a7a\u9593\u60c5\u5831\u30bb\u30f3\u30bf\u30fc/45\u5bae\u5d0e\u770c/149\u5e83\u6e21\u5ddd\u68ee\u6797\u8a08\u753b\u533aTKY2JGD/\u7b2c2\u7cfb/\u4f5c\u696d\u9053.fgb"}}</t>
  </si>
  <si>
    <t>{"PARAMETERS": {"2": "'E:/G\u7a7a\u9593\u60c5\u5831\u30bb\u30f3\u30bf\u30fc/45\u5bae\u5d0e\u770c/149\u5e83\u6e21\u5ddd\u68ee\u6797\u8a08\u753b\u533a/\u7b2c2\u7cfb/\u7b49\u9ad8\u7dda10m\u9593\u9694.shp'", "crsjgd2000": "QgsCoordinateReferenceSystem('EPSG:2444')"}, "OUTPUTS": {"": "E:/G\u7a7a\u9593\u60c5\u5831\u30bb\u30f3\u30bf\u30fc/45\u5bae\u5d0e\u770c/149\u5e83\u6e21\u5ddd\u68ee\u6797\u8a08\u753b\u533aTKY2JGD/\u7b2c2\u7cfb/\u7b49\u9ad8\u7dda10m\u9593\u9694.fgb"}}</t>
  </si>
  <si>
    <t>{"PARAMETERS": {"2": "'E:/G\u7a7a\u9593\u60c5\u5831\u30bb\u30f3\u30bf\u30fc/46\u9e7f\u5150\u5cf6\u770c/150\u5317\u85a9\u68ee\u6797\u8a08\u753b\u533a/\u7b2c2\u7cfb/\u5883\u754c.shp'", "crsjgd2000": "QgsCoordinateReferenceSystem('EPSG:2444')"}, "OUTPUTS": {"": "E:/G\u7a7a\u9593\u60c5\u5831\u30bb\u30f3\u30bf\u30fc/46\u9e7f\u5150\u5cf6\u770c/150\u5317\u85a9\u68ee\u6797\u8a08\u753b\u533aTKY2JGD/\u7b2c2\u7cfb/\u5883\u754c.fgb"}}</t>
  </si>
  <si>
    <t>{"PARAMETERS": {"2": "'E:/G\u7a7a\u9593\u60c5\u5831\u30bb\u30f3\u30bf\u30fc/46\u9e7f\u5150\u5cf6\u770c/150\u5317\u85a9\u68ee\u6797\u8a08\u753b\u533a/\u7b2c2\u7cfb/\u6797\u73ed\u754c.shp'", "crsjgd2000": "QgsCoordinateReferenceSystem('EPSG:2444')"}, "OUTPUTS": {"": "E:/G\u7a7a\u9593\u60c5\u5831\u30bb\u30f3\u30bf\u30fc/46\u9e7f\u5150\u5cf6\u770c/150\u5317\u85a9\u68ee\u6797\u8a08\u753b\u533aTKY2JGD/\u7b2c2\u7cfb/\u6797\u73ed\u754c.fgb"}}</t>
  </si>
  <si>
    <t>{"PARAMETERS": {"2": "'E:/G\u7a7a\u9593\u60c5\u5831\u30bb\u30f3\u30bf\u30fc/46\u9e7f\u5150\u5cf6\u770c/150\u5317\u85a9\u68ee\u6797\u8a08\u753b\u533a/\u7b2c2\u7cfb/\u6797\u73ed\u533a\u753b.shp'", "crsjgd2000": "QgsCoordinateReferenceSystem('EPSG:2444')"}, "OUTPUTS": {"": "E:/G\u7a7a\u9593\u60c5\u5831\u30bb\u30f3\u30bf\u30fc/46\u9e7f\u5150\u5cf6\u770c/150\u5317\u85a9\u68ee\u6797\u8a08\u753b\u533aTKY2JGD/\u7b2c2\u7cfb/\u6797\u73ed\u533a\u753b.fgb"}}</t>
  </si>
  <si>
    <t>{"PARAMETERS": {"2": "'E:/G\u7a7a\u9593\u60c5\u5831\u30bb\u30f3\u30bf\u30fc/46\u9e7f\u5150\u5cf6\u770c/150\u5317\u85a9\u68ee\u6797\u8a08\u753b\u533a/\u7b2c2\u7cfb/\u5c0f\u73ed\u754c.shp'", "crsjgd2000": "QgsCoordinateReferenceSystem('EPSG:2444')"}, "OUTPUTS": {"": "E:/G\u7a7a\u9593\u60c5\u5831\u30bb\u30f3\u30bf\u30fc/46\u9e7f\u5150\u5cf6\u770c/150\u5317\u85a9\u68ee\u6797\u8a08\u753b\u533aTKY2JGD/\u7b2c2\u7cfb/\u5c0f\u73ed\u754c.fgb"}}</t>
  </si>
  <si>
    <t>{"PARAMETERS": {"2": "'E:/G\u7a7a\u9593\u60c5\u5831\u30bb\u30f3\u30bf\u30fc/46\u9e7f\u5150\u5cf6\u770c/150\u5317\u85a9\u68ee\u6797\u8a08\u753b\u533a/\u7b2c2\u7cfb/\u5c0f\u73ed\u533a\u753b.shp'", "crsjgd2000": "QgsCoordinateReferenceSystem('EPSG:2444')"}, "OUTPUTS": {"": "E:/G\u7a7a\u9593\u60c5\u5831\u30bb\u30f3\u30bf\u30fc/46\u9e7f\u5150\u5cf6\u770c/150\u5317\u85a9\u68ee\u6797\u8a08\u753b\u533aTKY2JGD/\u7b2c2\u7cfb/\u5c0f\u73ed\u533a\u753b.fgb"}}</t>
  </si>
  <si>
    <t>{"PARAMETERS": {"2": "'E:/G\u7a7a\u9593\u60c5\u5831\u30bb\u30f3\u30bf\u30fc/46\u9e7f\u5150\u5cf6\u770c/150\u5317\u85a9\u68ee\u6797\u8a08\u753b\u533a/\u7b2c2\u7cfb/\u6797\u9053.shp'", "crsjgd2000": "QgsCoordinateReferenceSystem('EPSG:2444')"}, "OUTPUTS": {"": "E:/G\u7a7a\u9593\u60c5\u5831\u30bb\u30f3\u30bf\u30fc/46\u9e7f\u5150\u5cf6\u770c/150\u5317\u85a9\u68ee\u6797\u8a08\u753b\u533aTKY2JGD/\u7b2c2\u7cfb/\u6797\u9053.fgb"}}</t>
  </si>
  <si>
    <t>{"PARAMETERS": {"2": "'E:/G\u7a7a\u9593\u60c5\u5831\u30bb\u30f3\u30bf\u30fc/46\u9e7f\u5150\u5cf6\u770c/150\u5317\u85a9\u68ee\u6797\u8a08\u753b\u533a/\u7b2c2\u7cfb/\u4f5c\u696d\u9053.shp'", "crsjgd2000": "QgsCoordinateReferenceSystem('EPSG:2444')"}, "OUTPUTS": {"": "E:/G\u7a7a\u9593\u60c5\u5831\u30bb\u30f3\u30bf\u30fc/46\u9e7f\u5150\u5cf6\u770c/150\u5317\u85a9\u68ee\u6797\u8a08\u753b\u533aTKY2JGD/\u7b2c2\u7cfb/\u4f5c\u696d\u9053.fgb"}}</t>
  </si>
  <si>
    <t>{"PARAMETERS": {"2": "'E:/G\u7a7a\u9593\u60c5\u5831\u30bb\u30f3\u30bf\u30fc/46\u9e7f\u5150\u5cf6\u770c/150\u5317\u85a9\u68ee\u6797\u8a08\u753b\u533a/\u7b2c2\u7cfb/\u7b49\u9ad8\u7dda10m\u9593\u9694.shp'", "crsjgd2000": "QgsCoordinateReferenceSystem('EPSG:2444')"}, "OUTPUTS": {"": "E:/G\u7a7a\u9593\u60c5\u5831\u30bb\u30f3\u30bf\u30fc/46\u9e7f\u5150\u5cf6\u770c/150\u5317\u85a9\u68ee\u6797\u8a08\u753b\u533aTKY2JGD/\u7b2c2\u7cfb/\u7b49\u9ad8\u7dda10m\u9593\u9694.fgb"}}</t>
  </si>
  <si>
    <t>{"PARAMETERS": {"2": "'E:/G\u7a7a\u9593\u60c5\u5831\u30bb\u30f3\u30bf\u30fc/46\u9e7f\u5150\u5cf6\u770c/151\u59f6\u826f\u68ee\u6797\u8a08\u753b\u533a/\u7b2c2\u7cfb/\u5883\u754c.shp'", "crsjgd2000": "QgsCoordinateReferenceSystem('EPSG:2444')"}, "OUTPUTS": {"": "E:/G\u7a7a\u9593\u60c5\u5831\u30bb\u30f3\u30bf\u30fc/46\u9e7f\u5150\u5cf6\u770c/151\u59f6\u826f\u68ee\u6797\u8a08\u753b\u533aTKY2JGD/\u7b2c2\u7cfb/\u5883\u754c.fgb"}}</t>
  </si>
  <si>
    <t>{"PARAMETERS": {"2": "'E:/G\u7a7a\u9593\u60c5\u5831\u30bb\u30f3\u30bf\u30fc/46\u9e7f\u5150\u5cf6\u770c/151\u59f6\u826f\u68ee\u6797\u8a08\u753b\u533a/\u7b2c2\u7cfb/\u6797\u73ed\u754c.shp'", "crsjgd2000": "QgsCoordinateReferenceSystem('EPSG:2444')"}, "OUTPUTS": {"": "E:/G\u7a7a\u9593\u60c5\u5831\u30bb\u30f3\u30bf\u30fc/46\u9e7f\u5150\u5cf6\u770c/151\u59f6\u826f\u68ee\u6797\u8a08\u753b\u533aTKY2JGD/\u7b2c2\u7cfb/\u6797\u73ed\u754c.fgb"}}</t>
  </si>
  <si>
    <t>{"PARAMETERS": {"2": "'E:/G\u7a7a\u9593\u60c5\u5831\u30bb\u30f3\u30bf\u30fc/46\u9e7f\u5150\u5cf6\u770c/151\u59f6\u826f\u68ee\u6797\u8a08\u753b\u533a/\u7b2c2\u7cfb/\u6797\u73ed\u533a\u753b.shp'", "crsjgd2000": "QgsCoordinateReferenceSystem('EPSG:2444')"}, "OUTPUTS": {"": "E:/G\u7a7a\u9593\u60c5\u5831\u30bb\u30f3\u30bf\u30fc/46\u9e7f\u5150\u5cf6\u770c/151\u59f6\u826f\u68ee\u6797\u8a08\u753b\u533aTKY2JGD/\u7b2c2\u7cfb/\u6797\u73ed\u533a\u753b.fgb"}}</t>
  </si>
  <si>
    <t>{"PARAMETERS": {"2": "'E:/G\u7a7a\u9593\u60c5\u5831\u30bb\u30f3\u30bf\u30fc/46\u9e7f\u5150\u5cf6\u770c/151\u59f6\u826f\u68ee\u6797\u8a08\u753b\u533a/\u7b2c2\u7cfb/\u5c0f\u73ed\u754c.shp'", "crsjgd2000": "QgsCoordinateReferenceSystem('EPSG:2444')"}, "OUTPUTS": {"": "E:/G\u7a7a\u9593\u60c5\u5831\u30bb\u30f3\u30bf\u30fc/46\u9e7f\u5150\u5cf6\u770c/151\u59f6\u826f\u68ee\u6797\u8a08\u753b\u533aTKY2JGD/\u7b2c2\u7cfb/\u5c0f\u73ed\u754c.fgb"}}</t>
  </si>
  <si>
    <t>{"PARAMETERS": {"2": "'E:/G\u7a7a\u9593\u60c5\u5831\u30bb\u30f3\u30bf\u30fc/46\u9e7f\u5150\u5cf6\u770c/151\u59f6\u826f\u68ee\u6797\u8a08\u753b\u533a/\u7b2c2\u7cfb/\u5c0f\u73ed\u533a\u753b.shp'", "crsjgd2000": "QgsCoordinateReferenceSystem('EPSG:2444')"}, "OUTPUTS": {"": "E:/G\u7a7a\u9593\u60c5\u5831\u30bb\u30f3\u30bf\u30fc/46\u9e7f\u5150\u5cf6\u770c/151\u59f6\u826f\u68ee\u6797\u8a08\u753b\u533aTKY2JGD/\u7b2c2\u7cfb/\u5c0f\u73ed\u533a\u753b.fgb"}}</t>
  </si>
  <si>
    <t>{"PARAMETERS": {"2": "'E:/G\u7a7a\u9593\u60c5\u5831\u30bb\u30f3\u30bf\u30fc/46\u9e7f\u5150\u5cf6\u770c/151\u59f6\u826f\u68ee\u6797\u8a08\u753b\u533a/\u7b2c2\u7cfb/\u6797\u9053.shp'", "crsjgd2000": "QgsCoordinateReferenceSystem('EPSG:2444')"}, "OUTPUTS": {"": "E:/G\u7a7a\u9593\u60c5\u5831\u30bb\u30f3\u30bf\u30fc/46\u9e7f\u5150\u5cf6\u770c/151\u59f6\u826f\u68ee\u6797\u8a08\u753b\u533aTKY2JGD/\u7b2c2\u7cfb/\u6797\u9053.fgb"}}</t>
  </si>
  <si>
    <t>{"PARAMETERS": {"2": "'E:/G\u7a7a\u9593\u60c5\u5831\u30bb\u30f3\u30bf\u30fc/46\u9e7f\u5150\u5cf6\u770c/151\u59f6\u826f\u68ee\u6797\u8a08\u753b\u533a/\u7b2c2\u7cfb/\u4f5c\u696d\u9053.shp'", "crsjgd2000": "QgsCoordinateReferenceSystem('EPSG:2444')"}, "OUTPUTS": {"": "E:/G\u7a7a\u9593\u60c5\u5831\u30bb\u30f3\u30bf\u30fc/46\u9e7f\u5150\u5cf6\u770c/151\u59f6\u826f\u68ee\u6797\u8a08\u753b\u533aTKY2JGD/\u7b2c2\u7cfb/\u4f5c\u696d\u9053.fgb"}}</t>
  </si>
  <si>
    <t>{"PARAMETERS": {"2": "'E:/G\u7a7a\u9593\u60c5\u5831\u30bb\u30f3\u30bf\u30fc/46\u9e7f\u5150\u5cf6\u770c/151\u59f6\u826f\u68ee\u6797\u8a08\u753b\u533a/\u7b2c2\u7cfb/\u7b49\u9ad8\u7dda10m\u9593\u9694.shp'", "crsjgd2000": "QgsCoordinateReferenceSystem('EPSG:2444')"}, "OUTPUTS": {"": "E:/G\u7a7a\u9593\u60c5\u5831\u30bb\u30f3\u30bf\u30fc/46\u9e7f\u5150\u5cf6\u770c/151\u59f6\u826f\u68ee\u6797\u8a08\u753b\u533aTKY2JGD/\u7b2c2\u7cfb/\u7b49\u9ad8\u7dda10m\u9593\u9694.fgb"}}</t>
  </si>
  <si>
    <t>{"PARAMETERS": {"2": "'E:/G\u7a7a\u9593\u60c5\u5831\u30bb\u30f3\u30bf\u30fc/46\u9e7f\u5150\u5cf6\u770c/152\u5357\u85a9\u68ee\u6797\u8a08\u753b\u533a/\u7b2c2\u7cfb/\u5883\u754c.shp'", "crsjgd2000": "QgsCoordinateReferenceSystem('EPSG:2444')"}, "OUTPUTS": {"": "E:/G\u7a7a\u9593\u60c5\u5831\u30bb\u30f3\u30bf\u30fc/46\u9e7f\u5150\u5cf6\u770c/152\u5357\u85a9\u68ee\u6797\u8a08\u753b\u533aTKY2JGD/\u7b2c2\u7cfb/\u5883\u754c.fgb"}}</t>
  </si>
  <si>
    <t>{"PARAMETERS": {"2": "'E:/G\u7a7a\u9593\u60c5\u5831\u30bb\u30f3\u30bf\u30fc/46\u9e7f\u5150\u5cf6\u770c/152\u5357\u85a9\u68ee\u6797\u8a08\u753b\u533a/\u7b2c2\u7cfb/\u6797\u73ed\u754c.shp'", "crsjgd2000": "QgsCoordinateReferenceSystem('EPSG:2444')"}, "OUTPUTS": {"": "E:/G\u7a7a\u9593\u60c5\u5831\u30bb\u30f3\u30bf\u30fc/46\u9e7f\u5150\u5cf6\u770c/152\u5357\u85a9\u68ee\u6797\u8a08\u753b\u533aTKY2JGD/\u7b2c2\u7cfb/\u6797\u73ed\u754c.fgb"}}</t>
  </si>
  <si>
    <t>{"PARAMETERS": {"2": "'E:/G\u7a7a\u9593\u60c5\u5831\u30bb\u30f3\u30bf\u30fc/46\u9e7f\u5150\u5cf6\u770c/152\u5357\u85a9\u68ee\u6797\u8a08\u753b\u533a/\u7b2c2\u7cfb/\u6797\u73ed\u533a\u753b.shp'", "crsjgd2000": "QgsCoordinateReferenceSystem('EPSG:2444')"}, "OUTPUTS": {"": "E:/G\u7a7a\u9593\u60c5\u5831\u30bb\u30f3\u30bf\u30fc/46\u9e7f\u5150\u5cf6\u770c/152\u5357\u85a9\u68ee\u6797\u8a08\u753b\u533aTKY2JGD/\u7b2c2\u7cfb/\u6797\u73ed\u533a\u753b.fgb"}}</t>
  </si>
  <si>
    <t>{"PARAMETERS": {"2": "'E:/G\u7a7a\u9593\u60c5\u5831\u30bb\u30f3\u30bf\u30fc/46\u9e7f\u5150\u5cf6\u770c/152\u5357\u85a9\u68ee\u6797\u8a08\u753b\u533a/\u7b2c2\u7cfb/\u5c0f\u73ed\u754c.shp'", "crsjgd2000": "QgsCoordinateReferenceSystem('EPSG:2444')"}, "OUTPUTS": {"": "E:/G\u7a7a\u9593\u60c5\u5831\u30bb\u30f3\u30bf\u30fc/46\u9e7f\u5150\u5cf6\u770c/152\u5357\u85a9\u68ee\u6797\u8a08\u753b\u533aTKY2JGD/\u7b2c2\u7cfb/\u5c0f\u73ed\u754c.fgb"}}</t>
  </si>
  <si>
    <t>{"PARAMETERS": {"2": "'E:/G\u7a7a\u9593\u60c5\u5831\u30bb\u30f3\u30bf\u30fc/46\u9e7f\u5150\u5cf6\u770c/152\u5357\u85a9\u68ee\u6797\u8a08\u753b\u533a/\u7b2c2\u7cfb/\u5c0f\u73ed\u533a\u753b.shp'", "crsjgd2000": "QgsCoordinateReferenceSystem('EPSG:2444')"}, "OUTPUTS": {"": "E:/G\u7a7a\u9593\u60c5\u5831\u30bb\u30f3\u30bf\u30fc/46\u9e7f\u5150\u5cf6\u770c/152\u5357\u85a9\u68ee\u6797\u8a08\u753b\u533aTKY2JGD/\u7b2c2\u7cfb/\u5c0f\u73ed\u533a\u753b.fgb"}}</t>
  </si>
  <si>
    <t>{"PARAMETERS": {"2": "'E:/G\u7a7a\u9593\u60c5\u5831\u30bb\u30f3\u30bf\u30fc/46\u9e7f\u5150\u5cf6\u770c/152\u5357\u85a9\u68ee\u6797\u8a08\u753b\u533a/\u7b2c2\u7cfb/\u6797\u9053.shp'", "crsjgd2000": "QgsCoordinateReferenceSystem('EPSG:2444')"}, "OUTPUTS": {"": "E:/G\u7a7a\u9593\u60c5\u5831\u30bb\u30f3\u30bf\u30fc/46\u9e7f\u5150\u5cf6\u770c/152\u5357\u85a9\u68ee\u6797\u8a08\u753b\u533aTKY2JGD/\u7b2c2\u7cfb/\u6797\u9053.fgb"}}</t>
  </si>
  <si>
    <t>{"PARAMETERS": {"2": "'E:/G\u7a7a\u9593\u60c5\u5831\u30bb\u30f3\u30bf\u30fc/46\u9e7f\u5150\u5cf6\u770c/152\u5357\u85a9\u68ee\u6797\u8a08\u753b\u533a/\u7b2c2\u7cfb/\u4f5c\u696d\u9053.shp'", "crsjgd2000": "QgsCoordinateReferenceSystem('EPSG:2444')"}, "OUTPUTS": {"": "E:/G\u7a7a\u9593\u60c5\u5831\u30bb\u30f3\u30bf\u30fc/46\u9e7f\u5150\u5cf6\u770c/152\u5357\u85a9\u68ee\u6797\u8a08\u753b\u533aTKY2JGD/\u7b2c2\u7cfb/\u4f5c\u696d\u9053.fgb"}}</t>
  </si>
  <si>
    <t>{"PARAMETERS": {"2": "'E:/G\u7a7a\u9593\u60c5\u5831\u30bb\u30f3\u30bf\u30fc/46\u9e7f\u5150\u5cf6\u770c/152\u5357\u85a9\u68ee\u6797\u8a08\u753b\u533a/\u7b2c2\u7cfb/\u7b49\u9ad8\u7dda10m\u9593\u9694.shp'", "crsjgd2000": "QgsCoordinateReferenceSystem('EPSG:2444')"}, "OUTPUTS": {"": "E:/G\u7a7a\u9593\u60c5\u5831\u30bb\u30f3\u30bf\u30fc/46\u9e7f\u5150\u5cf6\u770c/152\u5357\u85a9\u68ee\u6797\u8a08\u753b\u533aTKY2JGD/\u7b2c2\u7cfb/\u7b49\u9ad8\u7dda10m\u9593\u9694.fgb"}}</t>
  </si>
  <si>
    <t>{"PARAMETERS": {"2": "'E:/G\u7a7a\u9593\u60c5\u5831\u30bb\u30f3\u30bf\u30fc/46\u9e7f\u5150\u5cf6\u770c/153\u5927\u9685\u68ee\u6797\u8a08\u753b\u533a/\u7b2c2\u7cfb/\u5883\u754c.shp'", "crsjgd2000": "QgsCoordinateReferenceSystem('EPSG:2444')"}, "OUTPUTS": {"": "E:/G\u7a7a\u9593\u60c5\u5831\u30bb\u30f3\u30bf\u30fc/46\u9e7f\u5150\u5cf6\u770c/153\u5927\u9685\u68ee\u6797\u8a08\u753b\u533aTKY2JGD/\u7b2c2\u7cfb/\u5883\u754c.fgb"}}</t>
  </si>
  <si>
    <t>{"PARAMETERS": {"2": "'E:/G\u7a7a\u9593\u60c5\u5831\u30bb\u30f3\u30bf\u30fc/46\u9e7f\u5150\u5cf6\u770c/153\u5927\u9685\u68ee\u6797\u8a08\u753b\u533a/\u7b2c2\u7cfb/\u6797\u73ed\u754c.shp'", "crsjgd2000": "QgsCoordinateReferenceSystem('EPSG:2444')"}, "OUTPUTS": {"": "E:/G\u7a7a\u9593\u60c5\u5831\u30bb\u30f3\u30bf\u30fc/46\u9e7f\u5150\u5cf6\u770c/153\u5927\u9685\u68ee\u6797\u8a08\u753b\u533aTKY2JGD/\u7b2c2\u7cfb/\u6797\u73ed\u754c.fgb"}}</t>
  </si>
  <si>
    <t>{"PARAMETERS": {"2": "'E:/G\u7a7a\u9593\u60c5\u5831\u30bb\u30f3\u30bf\u30fc/46\u9e7f\u5150\u5cf6\u770c/153\u5927\u9685\u68ee\u6797\u8a08\u753b\u533a/\u7b2c2\u7cfb/\u6797\u73ed\u533a\u753b.shp'", "crsjgd2000": "QgsCoordinateReferenceSystem('EPSG:2444')"}, "OUTPUTS": {"": "E:/G\u7a7a\u9593\u60c5\u5831\u30bb\u30f3\u30bf\u30fc/46\u9e7f\u5150\u5cf6\u770c/153\u5927\u9685\u68ee\u6797\u8a08\u753b\u533aTKY2JGD/\u7b2c2\u7cfb/\u6797\u73ed\u533a\u753b.fgb"}}</t>
  </si>
  <si>
    <t>{"PARAMETERS": {"2": "'E:/G\u7a7a\u9593\u60c5\u5831\u30bb\u30f3\u30bf\u30fc/46\u9e7f\u5150\u5cf6\u770c/153\u5927\u9685\u68ee\u6797\u8a08\u753b\u533a/\u7b2c2\u7cfb/\u5c0f\u73ed\u754c.shp'", "crsjgd2000": "QgsCoordinateReferenceSystem('EPSG:2444')"}, "OUTPUTS": {"": "E:/G\u7a7a\u9593\u60c5\u5831\u30bb\u30f3\u30bf\u30fc/46\u9e7f\u5150\u5cf6\u770c/153\u5927\u9685\u68ee\u6797\u8a08\u753b\u533aTKY2JGD/\u7b2c2\u7cfb/\u5c0f\u73ed\u754c.fgb"}}</t>
  </si>
  <si>
    <t>{"PARAMETERS": {"2": "'E:/G\u7a7a\u9593\u60c5\u5831\u30bb\u30f3\u30bf\u30fc/46\u9e7f\u5150\u5cf6\u770c/153\u5927\u9685\u68ee\u6797\u8a08\u753b\u533a/\u7b2c2\u7cfb/\u5c0f\u73ed\u533a\u753b.shp'", "crsjgd2000": "QgsCoordinateReferenceSystem('EPSG:2444')"}, "OUTPUTS": {"": "E:/G\u7a7a\u9593\u60c5\u5831\u30bb\u30f3\u30bf\u30fc/46\u9e7f\u5150\u5cf6\u770c/153\u5927\u9685\u68ee\u6797\u8a08\u753b\u533aTKY2JGD/\u7b2c2\u7cfb/\u5c0f\u73ed\u533a\u753b.fgb"}}</t>
  </si>
  <si>
    <t>{"PARAMETERS": {"2": "'E:/G\u7a7a\u9593\u60c5\u5831\u30bb\u30f3\u30bf\u30fc/46\u9e7f\u5150\u5cf6\u770c/153\u5927\u9685\u68ee\u6797\u8a08\u753b\u533a/\u7b2c2\u7cfb/\u6797\u9053.shp'", "crsjgd2000": "QgsCoordinateReferenceSystem('EPSG:2444')"}, "OUTPUTS": {"": "E:/G\u7a7a\u9593\u60c5\u5831\u30bb\u30f3\u30bf\u30fc/46\u9e7f\u5150\u5cf6\u770c/153\u5927\u9685\u68ee\u6797\u8a08\u753b\u533aTKY2JGD/\u7b2c2\u7cfb/\u6797\u9053.fgb"}}</t>
  </si>
  <si>
    <t>{"PARAMETERS": {"2": "'E:/G\u7a7a\u9593\u60c5\u5831\u30bb\u30f3\u30bf\u30fc/46\u9e7f\u5150\u5cf6\u770c/153\u5927\u9685\u68ee\u6797\u8a08\u753b\u533a/\u7b2c2\u7cfb/\u4f5c\u696d\u9053.shp'", "crsjgd2000": "QgsCoordinateReferenceSystem('EPSG:2444')"}, "OUTPUTS": {"": "E:/G\u7a7a\u9593\u60c5\u5831\u30bb\u30f3\u30bf\u30fc/46\u9e7f\u5150\u5cf6\u770c/153\u5927\u9685\u68ee\u6797\u8a08\u753b\u533aTKY2JGD/\u7b2c2\u7cfb/\u4f5c\u696d\u9053.fgb"}}</t>
  </si>
  <si>
    <t>{"PARAMETERS": {"2": "'E:/G\u7a7a\u9593\u60c5\u5831\u30bb\u30f3\u30bf\u30fc/46\u9e7f\u5150\u5cf6\u770c/153\u5927\u9685\u68ee\u6797\u8a08\u753b\u533a/\u7b2c2\u7cfb/\u7b49\u9ad8\u7dda10m\u9593\u9694.shp'", "crsjgd2000": "QgsCoordinateReferenceSystem('EPSG:2444')"}, "OUTPUTS": {"": "E:/G\u7a7a\u9593\u60c5\u5831\u30bb\u30f3\u30bf\u30fc/46\u9e7f\u5150\u5cf6\u770c/153\u5927\u9685\u68ee\u6797\u8a08\u753b\u533aTKY2JGD/\u7b2c2\u7cfb/\u7b49\u9ad8\u7dda10m\u9593\u9694.fgb"}}</t>
  </si>
  <si>
    <t>{"PARAMETERS": {"2": "'E:/G\u7a7a\u9593\u60c5\u5831\u30bb\u30f3\u30bf\u30fc/46\u9e7f\u5150\u5cf6\u770c/154\u718a\u6bdb\u68ee\u6797\u8a08\u753b\u533a/\u7b2c2\u7cfb/\u5883\u754c.shp'", "crsjgd2000": "QgsCoordinateReferenceSystem('EPSG:2444')"}, "OUTPUTS": {"": "E:/G\u7a7a\u9593\u60c5\u5831\u30bb\u30f3\u30bf\u30fc/46\u9e7f\u5150\u5cf6\u770c/154\u718a\u6bdb\u68ee\u6797\u8a08\u753b\u533aTKY2JGD/\u7b2c2\u7cfb/\u5883\u754c.fgb"}}</t>
  </si>
  <si>
    <t>{"PARAMETERS": {"2": "'E:/G\u7a7a\u9593\u60c5\u5831\u30bb\u30f3\u30bf\u30fc/46\u9e7f\u5150\u5cf6\u770c/154\u718a\u6bdb\u68ee\u6797\u8a08\u753b\u533a/\u7b2c2\u7cfb/\u6797\u73ed\u754c.shp'", "crsjgd2000": "QgsCoordinateReferenceSystem('EPSG:2444')"}, "OUTPUTS": {"": "E:/G\u7a7a\u9593\u60c5\u5831\u30bb\u30f3\u30bf\u30fc/46\u9e7f\u5150\u5cf6\u770c/154\u718a\u6bdb\u68ee\u6797\u8a08\u753b\u533aTKY2JGD/\u7b2c2\u7cfb/\u6797\u73ed\u754c.fgb"}}</t>
  </si>
  <si>
    <t>{"PARAMETERS": {"2": "'E:/G\u7a7a\u9593\u60c5\u5831\u30bb\u30f3\u30bf\u30fc/46\u9e7f\u5150\u5cf6\u770c/154\u718a\u6bdb\u68ee\u6797\u8a08\u753b\u533a/\u7b2c2\u7cfb/\u6797\u73ed\u533a\u753b.shp'", "crsjgd2000": "QgsCoordinateReferenceSystem('EPSG:2444')"}, "OUTPUTS": {"": "E:/G\u7a7a\u9593\u60c5\u5831\u30bb\u30f3\u30bf\u30fc/46\u9e7f\u5150\u5cf6\u770c/154\u718a\u6bdb\u68ee\u6797\u8a08\u753b\u533aTKY2JGD/\u7b2c2\u7cfb/\u6797\u73ed\u533a\u753b.fgb"}}</t>
  </si>
  <si>
    <t>{"PARAMETERS": {"2": "'E:/G\u7a7a\u9593\u60c5\u5831\u30bb\u30f3\u30bf\u30fc/46\u9e7f\u5150\u5cf6\u770c/154\u718a\u6bdb\u68ee\u6797\u8a08\u753b\u533a/\u7b2c2\u7cfb/\u5c0f\u73ed\u754c.shp'", "crsjgd2000": "QgsCoordinateReferenceSystem('EPSG:2444')"}, "OUTPUTS": {"": "E:/G\u7a7a\u9593\u60c5\u5831\u30bb\u30f3\u30bf\u30fc/46\u9e7f\u5150\u5cf6\u770c/154\u718a\u6bdb\u68ee\u6797\u8a08\u753b\u533aTKY2JGD/\u7b2c2\u7cfb/\u5c0f\u73ed\u754c.fgb"}}</t>
  </si>
  <si>
    <t>{"PARAMETERS": {"2": "'E:/G\u7a7a\u9593\u60c5\u5831\u30bb\u30f3\u30bf\u30fc/46\u9e7f\u5150\u5cf6\u770c/154\u718a\u6bdb\u68ee\u6797\u8a08\u753b\u533a/\u7b2c2\u7cfb/\u5c0f\u73ed\u533a\u753b.shp'", "crsjgd2000": "QgsCoordinateReferenceSystem('EPSG:2444')"}, "OUTPUTS": {"": "E:/G\u7a7a\u9593\u60c5\u5831\u30bb\u30f3\u30bf\u30fc/46\u9e7f\u5150\u5cf6\u770c/154\u718a\u6bdb\u68ee\u6797\u8a08\u753b\u533aTKY2JGD/\u7b2c2\u7cfb/\u5c0f\u73ed\u533a\u753b.fgb"}}</t>
  </si>
  <si>
    <t>{"PARAMETERS": {"2": "'E:/G\u7a7a\u9593\u60c5\u5831\u30bb\u30f3\u30bf\u30fc/46\u9e7f\u5150\u5cf6\u770c/154\u718a\u6bdb\u68ee\u6797\u8a08\u753b\u533a/\u7b2c2\u7cfb/\u6797\u9053.shp'", "crsjgd2000": "QgsCoordinateReferenceSystem('EPSG:2444')"}, "OUTPUTS": {"": "E:/G\u7a7a\u9593\u60c5\u5831\u30bb\u30f3\u30bf\u30fc/46\u9e7f\u5150\u5cf6\u770c/154\u718a\u6bdb\u68ee\u6797\u8a08\u753b\u533aTKY2JGD/\u7b2c2\u7cfb/\u6797\u9053.fgb"}}</t>
  </si>
  <si>
    <t>{"PARAMETERS": {"2": "'E:/G\u7a7a\u9593\u60c5\u5831\u30bb\u30f3\u30bf\u30fc/46\u9e7f\u5150\u5cf6\u770c/154\u718a\u6bdb\u68ee\u6797\u8a08\u753b\u533a/\u7b2c2\u7cfb/\u4f5c\u696d\u9053.shp'", "crsjgd2000": "QgsCoordinateReferenceSystem('EPSG:2444')"}, "OUTPUTS": {"": "E:/G\u7a7a\u9593\u60c5\u5831\u30bb\u30f3\u30bf\u30fc/46\u9e7f\u5150\u5cf6\u770c/154\u718a\u6bdb\u68ee\u6797\u8a08\u753b\u533aTKY2JGD/\u7b2c2\u7cfb/\u4f5c\u696d\u9053.fgb"}}</t>
  </si>
  <si>
    <t>{"PARAMETERS": {"2": "'E:/G\u7a7a\u9593\u60c5\u5831\u30bb\u30f3\u30bf\u30fc/46\u9e7f\u5150\u5cf6\u770c/154\u718a\u6bdb\u68ee\u6797\u8a08\u753b\u533a/\u7b2c2\u7cfb/\u7b49\u9ad8\u7dda10m\u9593\u9694.shp'", "crsjgd2000": "QgsCoordinateReferenceSystem('EPSG:2444')"}, "OUTPUTS": {"": "E:/G\u7a7a\u9593\u60c5\u5831\u30bb\u30f3\u30bf\u30fc/46\u9e7f\u5150\u5cf6\u770c/154\u718a\u6bdb\u68ee\u6797\u8a08\u753b\u533aTKY2JGD/\u7b2c2\u7cfb/\u7b49\u9ad8\u7dda10m\u9593\u9694.fgb"}}</t>
  </si>
  <si>
    <t>{"PARAMETERS": {"2": "'E:/G\u7a7a\u9593\u60c5\u5831\u30bb\u30f3\u30bf\u30fc/46\u9e7f\u5150\u5cf6\u770c/155\u5944\u7f8e\u5927\u5cf6\u68ee\u6797\u8a08\u753b\u533a/\u7b2c1\u7cfb/\u5883\u754c.shp'", "crsjgd2000": "QgsCoordinateReferenceSystem('EPSG:2443')"}, "OUTPUTS": {"": "E:/G\u7a7a\u9593\u60c5\u5831\u30bb\u30f3\u30bf\u30fc/46\u9e7f\u5150\u5cf6\u770c/155\u5944\u7f8e\u5927\u5cf6\u68ee\u6797\u8a08\u753b\u533aTKY2JGD/\u7b2c1\u7cfb/\u5883\u754c.fgb"}}</t>
  </si>
  <si>
    <t>{"PARAMETERS": {"2": "'E:/G\u7a7a\u9593\u60c5\u5831\u30bb\u30f3\u30bf\u30fc/46\u9e7f\u5150\u5cf6\u770c/155\u5944\u7f8e\u5927\u5cf6\u68ee\u6797\u8a08\u753b\u533a/\u7b2c1\u7cfb/\u6797\u73ed\u754c.shp'", "crsjgd2000": "QgsCoordinateReferenceSystem('EPSG:2443')"}, "OUTPUTS": {"": "E:/G\u7a7a\u9593\u60c5\u5831\u30bb\u30f3\u30bf\u30fc/46\u9e7f\u5150\u5cf6\u770c/155\u5944\u7f8e\u5927\u5cf6\u68ee\u6797\u8a08\u753b\u533aTKY2JGD/\u7b2c1\u7cfb/\u6797\u73ed\u754c.fgb"}}</t>
  </si>
  <si>
    <t>{"PARAMETERS": {"2": "'E:/G\u7a7a\u9593\u60c5\u5831\u30bb\u30f3\u30bf\u30fc/46\u9e7f\u5150\u5cf6\u770c/155\u5944\u7f8e\u5927\u5cf6\u68ee\u6797\u8a08\u753b\u533a/\u7b2c1\u7cfb/\u6797\u73ed\u533a\u753b.shp'", "crsjgd2000": "QgsCoordinateReferenceSystem('EPSG:2443')"}, "OUTPUTS": {"": "E:/G\u7a7a\u9593\u60c5\u5831\u30bb\u30f3\u30bf\u30fc/46\u9e7f\u5150\u5cf6\u770c/155\u5944\u7f8e\u5927\u5cf6\u68ee\u6797\u8a08\u753b\u533aTKY2JGD/\u7b2c1\u7cfb/\u6797\u73ed\u533a\u753b.fgb"}}</t>
  </si>
  <si>
    <t>{"PARAMETERS": {"2": "'E:/G\u7a7a\u9593\u60c5\u5831\u30bb\u30f3\u30bf\u30fc/46\u9e7f\u5150\u5cf6\u770c/155\u5944\u7f8e\u5927\u5cf6\u68ee\u6797\u8a08\u753b\u533a/\u7b2c1\u7cfb/\u5c0f\u73ed\u754c.shp'", "crsjgd2000": "QgsCoordinateReferenceSystem('EPSG:2443')"}, "OUTPUTS": {"": "E:/G\u7a7a\u9593\u60c5\u5831\u30bb\u30f3\u30bf\u30fc/46\u9e7f\u5150\u5cf6\u770c/155\u5944\u7f8e\u5927\u5cf6\u68ee\u6797\u8a08\u753b\u533aTKY2JGD/\u7b2c1\u7cfb/\u5c0f\u73ed\u754c.fgb"}}</t>
  </si>
  <si>
    <t>{"PARAMETERS": {"2": "'E:/G\u7a7a\u9593\u60c5\u5831\u30bb\u30f3\u30bf\u30fc/46\u9e7f\u5150\u5cf6\u770c/155\u5944\u7f8e\u5927\u5cf6\u68ee\u6797\u8a08\u753b\u533a/\u7b2c1\u7cfb/\u5c0f\u73ed\u533a\u753b.shp'", "crsjgd2000": "QgsCoordinateReferenceSystem('EPSG:2443')"}, "OUTPUTS": {"": "E:/G\u7a7a\u9593\u60c5\u5831\u30bb\u30f3\u30bf\u30fc/46\u9e7f\u5150\u5cf6\u770c/155\u5944\u7f8e\u5927\u5cf6\u68ee\u6797\u8a08\u753b\u533aTKY2JGD/\u7b2c1\u7cfb/\u5c0f\u73ed\u533a\u753b.fgb"}}</t>
  </si>
  <si>
    <t>{"PARAMETERS": {"2": "'E:/G\u7a7a\u9593\u60c5\u5831\u30bb\u30f3\u30bf\u30fc/46\u9e7f\u5150\u5cf6\u770c/155\u5944\u7f8e\u5927\u5cf6\u68ee\u6797\u8a08\u753b\u533a/\u7b2c1\u7cfb/\u6797\u9053.shp'", "crsjgd2000": "QgsCoordinateReferenceSystem('EPSG:2443')"}, "OUTPUTS": {"": "E:/G\u7a7a\u9593\u60c5\u5831\u30bb\u30f3\u30bf\u30fc/46\u9e7f\u5150\u5cf6\u770c/155\u5944\u7f8e\u5927\u5cf6\u68ee\u6797\u8a08\u753b\u533aTKY2JGD/\u7b2c1\u7cfb/\u6797\u9053.fgb"}}</t>
  </si>
  <si>
    <t>{"PARAMETERS": {"2": "'E:/G\u7a7a\u9593\u60c5\u5831\u30bb\u30f3\u30bf\u30fc/46\u9e7f\u5150\u5cf6\u770c/155\u5944\u7f8e\u5927\u5cf6\u68ee\u6797\u8a08\u753b\u533a/\u7b2c1\u7cfb/\u4f5c\u696d\u9053.shp'", "crsjgd2000": "QgsCoordinateReferenceSystem('EPSG:2443')"}, "OUTPUTS": {"": "E:/G\u7a7a\u9593\u60c5\u5831\u30bb\u30f3\u30bf\u30fc/46\u9e7f\u5150\u5cf6\u770c/155\u5944\u7f8e\u5927\u5cf6\u68ee\u6797\u8a08\u753b\u533aTKY2JGD/\u7b2c1\u7cfb/\u4f5c\u696d\u9053.fgb"}}</t>
  </si>
  <si>
    <t>{"PARAMETERS": {"2": "'E:/G\u7a7a\u9593\u60c5\u5831\u30bb\u30f3\u30bf\u30fc/46\u9e7f\u5150\u5cf6\u770c/155\u5944\u7f8e\u5927\u5cf6\u68ee\u6797\u8a08\u753b\u533a/\u7b2c1\u7cfb/\u7b49\u9ad8\u7dda10m\u9593\u9694.shp'", "crsjgd2000": "QgsCoordinateReferenceSystem('EPSG:2443')"}, "OUTPUTS": {"": "E:/G\u7a7a\u9593\u60c5\u5831\u30bb\u30f3\u30bf\u30fc/46\u9e7f\u5150\u5cf6\u770c/155\u5944\u7f8e\u5927\u5cf6\u68ee\u6797\u8a08\u753b\u533aTKY2JGD/\u7b2c1\u7cfb/\u7b49\u9ad8\u7dda10m\u9593\u9694.fgb"}}</t>
  </si>
  <si>
    <t>{"PARAMETERS": {"2": "'E:/G\u7a7a\u9593\u60c5\u5831\u30bb\u30f3\u30bf\u30fc/47\u6c96\u7e04\u770c/156\u6c96\u7e04\u5317\u90e8\u68ee\u6797\u8a08\u753b\u533a/\u7b2c15\u7cfb/\u5883\u754c.shp'", "crsjgd2000": "QgsCoordinateReferenceSystem('EPSG:2457')"}, "OUTPUTS": {"": "E:/G\u7a7a\u9593\u60c5\u5831\u30bb\u30f3\u30bf\u30fc/47\u6c96\u7e04\u770c/156\u6c96\u7e04\u5317\u90e8\u68ee\u6797\u8a08\u753b\u533aTKY2JGD/\u7b2c15\u7cfb/\u5883\u754c.fgb"}}</t>
  </si>
  <si>
    <t>{"PARAMETERS": {"2": "'E:/G\u7a7a\u9593\u60c5\u5831\u30bb\u30f3\u30bf\u30fc/47\u6c96\u7e04\u770c/156\u6c96\u7e04\u5317\u90e8\u68ee\u6797\u8a08\u753b\u533a/\u7b2c15\u7cfb/\u6797\u73ed\u754c.shp'", "crsjgd2000": "QgsCoordinateReferenceSystem('EPSG:2457')"}, "OUTPUTS": {"": "E:/G\u7a7a\u9593\u60c5\u5831\u30bb\u30f3\u30bf\u30fc/47\u6c96\u7e04\u770c/156\u6c96\u7e04\u5317\u90e8\u68ee\u6797\u8a08\u753b\u533aTKY2JGD/\u7b2c15\u7cfb/\u6797\u73ed\u754c.fgb"}}</t>
  </si>
  <si>
    <t>{"PARAMETERS": {"2": "'E:/G\u7a7a\u9593\u60c5\u5831\u30bb\u30f3\u30bf\u30fc/47\u6c96\u7e04\u770c/156\u6c96\u7e04\u5317\u90e8\u68ee\u6797\u8a08\u753b\u533a/\u7b2c15\u7cfb/\u6797\u73ed\u533a\u753b.shp'", "crsjgd2000": "QgsCoordinateReferenceSystem('EPSG:2457')"}, "OUTPUTS": {"": "E:/G\u7a7a\u9593\u60c5\u5831\u30bb\u30f3\u30bf\u30fc/47\u6c96\u7e04\u770c/156\u6c96\u7e04\u5317\u90e8\u68ee\u6797\u8a08\u753b\u533aTKY2JGD/\u7b2c15\u7cfb/\u6797\u73ed\u533a\u753b.fgb"}}</t>
  </si>
  <si>
    <t>{"PARAMETERS": {"2": "'E:/G\u7a7a\u9593\u60c5\u5831\u30bb\u30f3\u30bf\u30fc/47\u6c96\u7e04\u770c/156\u6c96\u7e04\u5317\u90e8\u68ee\u6797\u8a08\u753b\u533a/\u7b2c15\u7cfb/\u5c0f\u73ed\u754c.shp'", "crsjgd2000": "QgsCoordinateReferenceSystem('EPSG:2457')"}, "OUTPUTS": {"": "E:/G\u7a7a\u9593\u60c5\u5831\u30bb\u30f3\u30bf\u30fc/47\u6c96\u7e04\u770c/156\u6c96\u7e04\u5317\u90e8\u68ee\u6797\u8a08\u753b\u533aTKY2JGD/\u7b2c15\u7cfb/\u5c0f\u73ed\u754c.fgb"}}</t>
  </si>
  <si>
    <t>{"PARAMETERS": {"2": "'E:/G\u7a7a\u9593\u60c5\u5831\u30bb\u30f3\u30bf\u30fc/47\u6c96\u7e04\u770c/156\u6c96\u7e04\u5317\u90e8\u68ee\u6797\u8a08\u753b\u533a/\u7b2c15\u7cfb/\u5c0f\u73ed\u533a\u753b.shp'", "crsjgd2000": "QgsCoordinateReferenceSystem('EPSG:2457')"}, "OUTPUTS": {"": "E:/G\u7a7a\u9593\u60c5\u5831\u30bb\u30f3\u30bf\u30fc/47\u6c96\u7e04\u770c/156\u6c96\u7e04\u5317\u90e8\u68ee\u6797\u8a08\u753b\u533aTKY2JGD/\u7b2c15\u7cfb/\u5c0f\u73ed\u533a\u753b.fgb"}}</t>
  </si>
  <si>
    <t>{"PARAMETERS": {"2": "'E:/G\u7a7a\u9593\u60c5\u5831\u30bb\u30f3\u30bf\u30fc/47\u6c96\u7e04\u770c/156\u6c96\u7e04\u5317\u90e8\u68ee\u6797\u8a08\u753b\u533a/\u7b2c15\u7cfb/\u6797\u9053.shp'", "crsjgd2000": "QgsCoordinateReferenceSystem('EPSG:2457')"}, "OUTPUTS": {"": "E:/G\u7a7a\u9593\u60c5\u5831\u30bb\u30f3\u30bf\u30fc/47\u6c96\u7e04\u770c/156\u6c96\u7e04\u5317\u90e8\u68ee\u6797\u8a08\u753b\u533aTKY2JGD/\u7b2c15\u7cfb/\u6797\u9053.fgb"}}</t>
  </si>
  <si>
    <t>{"PARAMETERS": {"2": "'E:/G\u7a7a\u9593\u60c5\u5831\u30bb\u30f3\u30bf\u30fc/47\u6c96\u7e04\u770c/156\u6c96\u7e04\u5317\u90e8\u68ee\u6797\u8a08\u753b\u533a/\u7b2c15\u7cfb/\u4f5c\u696d\u9053.shp'", "crsjgd2000": "QgsCoordinateReferenceSystem('EPSG:2457')"}, "OUTPUTS": {"": "E:/G\u7a7a\u9593\u60c5\u5831\u30bb\u30f3\u30bf\u30fc/47\u6c96\u7e04\u770c/156\u6c96\u7e04\u5317\u90e8\u68ee\u6797\u8a08\u753b\u533aTKY2JGD/\u7b2c15\u7cfb/\u4f5c\u696d\u9053.fgb"}}</t>
  </si>
  <si>
    <t>{"PARAMETERS": {"2": "'E:/G\u7a7a\u9593\u60c5\u5831\u30bb\u30f3\u30bf\u30fc/47\u6c96\u7e04\u770c/156\u6c96\u7e04\u5317\u90e8\u68ee\u6797\u8a08\u753b\u533a/\u7b2c15\u7cfb/\u7b49\u9ad8\u7dda10m\u9593\u9694.shp'", "crsjgd2000": "QgsCoordinateReferenceSystem('EPSG:2457')"}, "OUTPUTS": {"": "E:/G\u7a7a\u9593\u60c5\u5831\u30bb\u30f3\u30bf\u30fc/47\u6c96\u7e04\u770c/156\u6c96\u7e04\u5317\u90e8\u68ee\u6797\u8a08\u753b\u533aTKY2JGD/\u7b2c15\u7cfb/\u7b49\u9ad8\u7dda10m\u9593\u9694.fgb"}}</t>
  </si>
  <si>
    <t>{"PARAMETERS": {"2": "'E:/G\u7a7a\u9593\u60c5\u5831\u30bb\u30f3\u30bf\u30fc/47\u6c96\u7e04\u770c/157\u6c96\u7e04\u4e2d\u5357\u90e8\u68ee\u6797\u8a08\u753b\u533a/\u7b2c15\u7cfb/\u5883\u754c.shp'", "crsjgd2000": "QgsCoordinateReferenceSystem('EPSG:2457')"}, "OUTPUTS": {"": "E:/G\u7a7a\u9593\u60c5\u5831\u30bb\u30f3\u30bf\u30fc/47\u6c96\u7e04\u770c/157\u6c96\u7e04\u4e2d\u5357\u90e8\u68ee\u6797\u8a08\u753b\u533aTKY2JGD/\u7b2c15\u7cfb/\u5883\u754c.fgb"}}</t>
  </si>
  <si>
    <t>{"PARAMETERS": {"2": "'E:/G\u7a7a\u9593\u60c5\u5831\u30bb\u30f3\u30bf\u30fc/47\u6c96\u7e04\u770c/157\u6c96\u7e04\u4e2d\u5357\u90e8\u68ee\u6797\u8a08\u753b\u533a/\u7b2c15\u7cfb/\u6797\u73ed\u754c.shp'", "crsjgd2000": "QgsCoordinateReferenceSystem('EPSG:2457')"}, "OUTPUTS": {"": "E:/G\u7a7a\u9593\u60c5\u5831\u30bb\u30f3\u30bf\u30fc/47\u6c96\u7e04\u770c/157\u6c96\u7e04\u4e2d\u5357\u90e8\u68ee\u6797\u8a08\u753b\u533aTKY2JGD/\u7b2c15\u7cfb/\u6797\u73ed\u754c.fgb"}}</t>
  </si>
  <si>
    <t>{"PARAMETERS": {"2": "'E:/G\u7a7a\u9593\u60c5\u5831\u30bb\u30f3\u30bf\u30fc/47\u6c96\u7e04\u770c/157\u6c96\u7e04\u4e2d\u5357\u90e8\u68ee\u6797\u8a08\u753b\u533a/\u7b2c15\u7cfb/\u6797\u73ed\u533a\u753b.shp'", "crsjgd2000": "QgsCoordinateReferenceSystem('EPSG:2457')"}, "OUTPUTS": {"": "E:/G\u7a7a\u9593\u60c5\u5831\u30bb\u30f3\u30bf\u30fc/47\u6c96\u7e04\u770c/157\u6c96\u7e04\u4e2d\u5357\u90e8\u68ee\u6797\u8a08\u753b\u533aTKY2JGD/\u7b2c15\u7cfb/\u6797\u73ed\u533a\u753b.fgb"}}</t>
  </si>
  <si>
    <t>{"PARAMETERS": {"2": "'E:/G\u7a7a\u9593\u60c5\u5831\u30bb\u30f3\u30bf\u30fc/47\u6c96\u7e04\u770c/157\u6c96\u7e04\u4e2d\u5357\u90e8\u68ee\u6797\u8a08\u753b\u533a/\u7b2c15\u7cfb/\u5c0f\u73ed\u754c.shp'", "crsjgd2000": "QgsCoordinateReferenceSystem('EPSG:2457')"}, "OUTPUTS": {"": "E:/G\u7a7a\u9593\u60c5\u5831\u30bb\u30f3\u30bf\u30fc/47\u6c96\u7e04\u770c/157\u6c96\u7e04\u4e2d\u5357\u90e8\u68ee\u6797\u8a08\u753b\u533aTKY2JGD/\u7b2c15\u7cfb/\u5c0f\u73ed\u754c.fgb"}}</t>
  </si>
  <si>
    <t>{"PARAMETERS": {"2": "'E:/G\u7a7a\u9593\u60c5\u5831\u30bb\u30f3\u30bf\u30fc/47\u6c96\u7e04\u770c/157\u6c96\u7e04\u4e2d\u5357\u90e8\u68ee\u6797\u8a08\u753b\u533a/\u7b2c15\u7cfb/\u5c0f\u73ed\u533a\u753b.shp'", "crsjgd2000": "QgsCoordinateReferenceSystem('EPSG:2457')"}, "OUTPUTS": {"": "E:/G\u7a7a\u9593\u60c5\u5831\u30bb\u30f3\u30bf\u30fc/47\u6c96\u7e04\u770c/157\u6c96\u7e04\u4e2d\u5357\u90e8\u68ee\u6797\u8a08\u753b\u533aTKY2JGD/\u7b2c15\u7cfb/\u5c0f\u73ed\u533a\u753b.fgb"}}</t>
  </si>
  <si>
    <t>{"PARAMETERS": {"2": "'E:/G\u7a7a\u9593\u60c5\u5831\u30bb\u30f3\u30bf\u30fc/47\u6c96\u7e04\u770c/157\u6c96\u7e04\u4e2d\u5357\u90e8\u68ee\u6797\u8a08\u753b\u533a/\u7b2c15\u7cfb/\u6797\u9053.shp'", "crsjgd2000": "QgsCoordinateReferenceSystem('EPSG:2457')"}, "OUTPUTS": {"": "E:/G\u7a7a\u9593\u60c5\u5831\u30bb\u30f3\u30bf\u30fc/47\u6c96\u7e04\u770c/157\u6c96\u7e04\u4e2d\u5357\u90e8\u68ee\u6797\u8a08\u753b\u533aTKY2JGD/\u7b2c15\u7cfb/\u6797\u9053.fgb"}}</t>
  </si>
  <si>
    <t>{"PARAMETERS": {"2": "'E:/G\u7a7a\u9593\u60c5\u5831\u30bb\u30f3\u30bf\u30fc/47\u6c96\u7e04\u770c/157\u6c96\u7e04\u4e2d\u5357\u90e8\u68ee\u6797\u8a08\u753b\u533a/\u7b2c15\u7cfb/\u4f5c\u696d\u9053.shp'", "crsjgd2000": "QgsCoordinateReferenceSystem('EPSG:2457')"}, "OUTPUTS": {"": "E:/G\u7a7a\u9593\u60c5\u5831\u30bb\u30f3\u30bf\u30fc/47\u6c96\u7e04\u770c/157\u6c96\u7e04\u4e2d\u5357\u90e8\u68ee\u6797\u8a08\u753b\u533aTKY2JGD/\u7b2c15\u7cfb/\u4f5c\u696d\u9053.fgb"}}</t>
  </si>
  <si>
    <t>{"PARAMETERS": {"2": "'E:/G\u7a7a\u9593\u60c5\u5831\u30bb\u30f3\u30bf\u30fc/47\u6c96\u7e04\u770c/157\u6c96\u7e04\u4e2d\u5357\u90e8\u68ee\u6797\u8a08\u753b\u533a/\u7b2c15\u7cfb/\u7b49\u9ad8\u7dda10m\u9593\u9694.shp'", "crsjgd2000": "QgsCoordinateReferenceSystem('EPSG:2457')"}, "OUTPUTS": {"": "E:/G\u7a7a\u9593\u60c5\u5831\u30bb\u30f3\u30bf\u30fc/47\u6c96\u7e04\u770c/157\u6c96\u7e04\u4e2d\u5357\u90e8\u68ee\u6797\u8a08\u753b\u533aTKY2JGD/\u7b2c15\u7cfb/\u7b49\u9ad8\u7dda10m\u9593\u9694.fgb"}}</t>
  </si>
  <si>
    <t>{"PARAMETERS": {"2": "'E:/G\u7a7a\u9593\u60c5\u5831\u30bb\u30f3\u30bf\u30fc/47\u6c96\u7e04\u770c/158\u5bae\u53e4\u516b\u91cd\u5c71\u68ee\u6797\u8a08\u753b\u533a/\u7b2c16\u7cfb/\u5883\u754c.shp'", "crsjgd2000": "QgsCoordinateReferenceSystem('EPSG:2458')"}, "OUTPUTS": {"": "E:/G\u7a7a\u9593\u60c5\u5831\u30bb\u30f3\u30bf\u30fc/47\u6c96\u7e04\u770c/158\u5bae\u53e4\u516b\u91cd\u5c71\u68ee\u6797\u8a08\u753b\u533aTKY2JGD/\u7b2c16\u7cfb/\u5883\u754c.fgb"}}</t>
  </si>
  <si>
    <t>{"PARAMETERS": {"2": "'E:/G\u7a7a\u9593\u60c5\u5831\u30bb\u30f3\u30bf\u30fc/47\u6c96\u7e04\u770c/158\u5bae\u53e4\u516b\u91cd\u5c71\u68ee\u6797\u8a08\u753b\u533a/\u7b2c16\u7cfb/\u6797\u73ed\u754c.shp'", "crsjgd2000": "QgsCoordinateReferenceSystem('EPSG:2458')"}, "OUTPUTS": {"": "E:/G\u7a7a\u9593\u60c5\u5831\u30bb\u30f3\u30bf\u30fc/47\u6c96\u7e04\u770c/158\u5bae\u53e4\u516b\u91cd\u5c71\u68ee\u6797\u8a08\u753b\u533aTKY2JGD/\u7b2c16\u7cfb/\u6797\u73ed\u754c.fgb"}}</t>
  </si>
  <si>
    <t>{"PARAMETERS": {"2": "'E:/G\u7a7a\u9593\u60c5\u5831\u30bb\u30f3\u30bf\u30fc/47\u6c96\u7e04\u770c/158\u5bae\u53e4\u516b\u91cd\u5c71\u68ee\u6797\u8a08\u753b\u533a/\u7b2c16\u7cfb/\u6797\u73ed\u533a\u753b.shp'", "crsjgd2000": "QgsCoordinateReferenceSystem('EPSG:2458')"}, "OUTPUTS": {"": "E:/G\u7a7a\u9593\u60c5\u5831\u30bb\u30f3\u30bf\u30fc/47\u6c96\u7e04\u770c/158\u5bae\u53e4\u516b\u91cd\u5c71\u68ee\u6797\u8a08\u753b\u533aTKY2JGD/\u7b2c16\u7cfb/\u6797\u73ed\u533a\u753b.fgb"}}</t>
  </si>
  <si>
    <t>{"PARAMETERS": {"2": "'E:/G\u7a7a\u9593\u60c5\u5831\u30bb\u30f3\u30bf\u30fc/47\u6c96\u7e04\u770c/158\u5bae\u53e4\u516b\u91cd\u5c71\u68ee\u6797\u8a08\u753b\u533a/\u7b2c16\u7cfb/\u5c0f\u73ed\u754c.shp'", "crsjgd2000": "QgsCoordinateReferenceSystem('EPSG:2458')"}, "OUTPUTS": {"": "E:/G\u7a7a\u9593\u60c5\u5831\u30bb\u30f3\u30bf\u30fc/47\u6c96\u7e04\u770c/158\u5bae\u53e4\u516b\u91cd\u5c71\u68ee\u6797\u8a08\u753b\u533aTKY2JGD/\u7b2c16\u7cfb/\u5c0f\u73ed\u754c.fgb"}}</t>
  </si>
  <si>
    <t>{"PARAMETERS": {"2": "'E:/G\u7a7a\u9593\u60c5\u5831\u30bb\u30f3\u30bf\u30fc/47\u6c96\u7e04\u770c/158\u5bae\u53e4\u516b\u91cd\u5c71\u68ee\u6797\u8a08\u753b\u533a/\u7b2c16\u7cfb/\u5c0f\u73ed\u533a\u753b.shp'", "crsjgd2000": "QgsCoordinateReferenceSystem('EPSG:2458')"}, "OUTPUTS": {"": "E:/G\u7a7a\u9593\u60c5\u5831\u30bb\u30f3\u30bf\u30fc/47\u6c96\u7e04\u770c/158\u5bae\u53e4\u516b\u91cd\u5c71\u68ee\u6797\u8a08\u753b\u533aTKY2JGD/\u7b2c16\u7cfb/\u5c0f\u73ed\u533a\u753b.fgb"}}</t>
  </si>
  <si>
    <t>{"PARAMETERS": {"2": "'E:/G\u7a7a\u9593\u60c5\u5831\u30bb\u30f3\u30bf\u30fc/47\u6c96\u7e04\u770c/158\u5bae\u53e4\u516b\u91cd\u5c71\u68ee\u6797\u8a08\u753b\u533a/\u7b2c16\u7cfb/\u6797\u9053.shp'", "crsjgd2000": "QgsCoordinateReferenceSystem('EPSG:2458')"}, "OUTPUTS": {"": "E:/G\u7a7a\u9593\u60c5\u5831\u30bb\u30f3\u30bf\u30fc/47\u6c96\u7e04\u770c/158\u5bae\u53e4\u516b\u91cd\u5c71\u68ee\u6797\u8a08\u753b\u533aTKY2JGD/\u7b2c16\u7cfb/\u6797\u9053.fgb"}}</t>
  </si>
  <si>
    <t>{"PARAMETERS": {"2": "'E:/G\u7a7a\u9593\u60c5\u5831\u30bb\u30f3\u30bf\u30fc/47\u6c96\u7e04\u770c/158\u5bae\u53e4\u516b\u91cd\u5c71\u68ee\u6797\u8a08\u753b\u533a/\u7b2c16\u7cfb/\u4f5c\u696d\u9053.shp'", "crsjgd2000": "QgsCoordinateReferenceSystem('EPSG:2458')"}, "OUTPUTS": {"": "E:/G\u7a7a\u9593\u60c5\u5831\u30bb\u30f3\u30bf\u30fc/47\u6c96\u7e04\u770c/158\u5bae\u53e4\u516b\u91cd\u5c71\u68ee\u6797\u8a08\u753b\u533aTKY2JGD/\u7b2c16\u7cfb/\u4f5c\u696d\u9053.fgb"}}</t>
  </si>
  <si>
    <t>{"PARAMETERS": {"2": "'E:/G\u7a7a\u9593\u60c5\u5831\u30bb\u30f3\u30bf\u30fc/47\u6c96\u7e04\u770c/158\u5bae\u53e4\u516b\u91cd\u5c71\u68ee\u6797\u8a08\u753b\u533a/\u7b2c16\u7cfb/\u7b49\u9ad8\u7dda10m\u9593\u9694.shp'", "crsjgd2000": "QgsCoordinateReferenceSystem('EPSG:2458')"}, "OUTPUTS": {"": "E:/G\u7a7a\u9593\u60c5\u5831\u30bb\u30f3\u30bf\u30fc/47\u6c96\u7e04\u770c/158\u5bae\u53e4\u516b\u91cd\u5c71\u68ee\u6797\u8a08\u753b\u533aTKY2JGD/\u7b2c16\u7cfb/\u7b49\u9ad8\u7dda10m\u9593\u9694.fgb"}}</t>
  </si>
  <si>
    <t>ReTKY2JGD</t>
    <phoneticPr fontId="1"/>
  </si>
  <si>
    <t>TKY2JGD_貸与用シェイプ（旧版）</t>
    <rPh sb="8" eb="11">
      <t>タイヨヨウ</t>
    </rPh>
    <rPh sb="16" eb="17">
      <t>キュウ</t>
    </rPh>
    <rPh sb="17" eb="18">
      <t>バン</t>
    </rPh>
    <phoneticPr fontId="1"/>
  </si>
  <si>
    <t>フォルダ一括取込に対応し、系ごとにJSON出力できるようにした</t>
    <rPh sb="4" eb="8">
      <t>イッカツトリコミ</t>
    </rPh>
    <rPh sb="9" eb="11">
      <t>タイオウ</t>
    </rPh>
    <rPh sb="13" eb="14">
      <t>ケイ</t>
    </rPh>
    <rPh sb="21" eb="23">
      <t>シュツリョク</t>
    </rPh>
    <phoneticPr fontId="1"/>
  </si>
  <si>
    <t>※変換元フォルダパスに「第X系」が含まれていない場合はプルダウンから選択</t>
    <rPh sb="1" eb="4">
      <t>ヘンカンモト</t>
    </rPh>
    <rPh sb="12" eb="13">
      <t>ダイ</t>
    </rPh>
    <rPh sb="14" eb="15">
      <t>ケイ</t>
    </rPh>
    <rPh sb="17" eb="18">
      <t>フク</t>
    </rPh>
    <rPh sb="24" eb="26">
      <t>バアイ</t>
    </rPh>
    <rPh sb="34" eb="36">
      <t>センタク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</si>
</sst>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sz val="14"/>
      <color theme="1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1"/>
      <color theme="6"/>
      <name val="游ゴシック"/>
      <family val="2"/>
      <charset val="128"/>
      <scheme val="minor"/>
    </font>
    <font>
      <sz val="11"/>
      <color theme="6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3"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vertical="center" shrinkToFit="1"/>
    </xf>
    <xf numFmtId="0" fontId="4" fillId="0" borderId="1" xfId="0" applyFont="1" applyBorder="1">
      <alignment vertical="center"/>
    </xf>
    <xf numFmtId="0" fontId="0" fillId="2" borderId="1" xfId="0" applyFill="1" applyBorder="1" applyAlignment="1">
      <alignment horizontal="left" vertical="center" shrinkToFit="1"/>
    </xf>
    <xf numFmtId="0" fontId="0" fillId="2" borderId="1" xfId="0" applyFill="1" applyBorder="1" applyAlignment="1">
      <alignment horizontal="left" vertical="center"/>
    </xf>
    <xf numFmtId="57" fontId="0" fillId="0" borderId="0" xfId="0" applyNumberFormat="1">
      <alignment vertical="center"/>
    </xf>
    <xf numFmtId="0" fontId="5" fillId="0" borderId="0" xfId="0" applyFont="1">
      <alignment vertical="center"/>
    </xf>
    <xf numFmtId="0" fontId="0" fillId="0" borderId="0" xfId="0" quotePrefix="1">
      <alignment vertical="center"/>
    </xf>
    <xf numFmtId="0" fontId="6" fillId="0" borderId="0" xfId="0" quotePrefix="1" applyFont="1" applyAlignment="1">
      <alignment vertical="center" wrapText="1"/>
    </xf>
    <xf numFmtId="0" fontId="7" fillId="0" borderId="0" xfId="0" applyFont="1">
      <alignment vertical="center"/>
    </xf>
    <xf numFmtId="57" fontId="8" fillId="0" borderId="0" xfId="0" applyNumberFormat="1" applyFont="1">
      <alignment vertical="center"/>
    </xf>
  </cellXfs>
  <cellStyles count="1">
    <cellStyle name="標準" xfId="0" builtinId="0"/>
  </cellStyles>
  <dxfs count="6">
    <dxf>
      <numFmt numFmtId="0" formatCode="General"/>
      <alignment horizontal="general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游ゴシック"/>
        <family val="2"/>
        <charset val="128"/>
        <scheme val="minor"/>
      </font>
      <alignment horizontal="general" vertical="center" textRotation="0" wrapText="0" indent="0" justifyLastLine="0" shrinkToFit="1" readingOrder="0"/>
    </dxf>
    <dxf>
      <alignment horizontal="general" vertical="center" textRotation="0" wrapText="0" indent="0" justifyLastLine="0" shrinkToFit="1" readingOrder="0"/>
    </dxf>
    <dxf>
      <fill>
        <patternFill>
          <bgColor theme="0" tint="-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0" tint="-0.49998474074526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1379220</xdr:colOff>
          <xdr:row>1</xdr:row>
          <xdr:rowOff>0</xdr:rowOff>
        </xdr:from>
        <xdr:to>
          <xdr:col>1</xdr:col>
          <xdr:colOff>0</xdr:colOff>
          <xdr:row>2</xdr:row>
          <xdr:rowOff>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1821180</xdr:colOff>
          <xdr:row>0</xdr:row>
          <xdr:rowOff>15240</xdr:rowOff>
        </xdr:from>
        <xdr:to>
          <xdr:col>1</xdr:col>
          <xdr:colOff>3771900</xdr:colOff>
          <xdr:row>0</xdr:row>
          <xdr:rowOff>411480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バッチ（JSON）出力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1379220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9</xdr:row>
          <xdr:rowOff>7620</xdr:rowOff>
        </xdr:from>
        <xdr:to>
          <xdr:col>1</xdr:col>
          <xdr:colOff>0</xdr:colOff>
          <xdr:row>10</xdr:row>
          <xdr:rowOff>198120</xdr:rowOff>
        </xdr:to>
        <xdr:sp macro="" textlink="">
          <xdr:nvSpPr>
            <xdr:cNvPr id="2063" name="Button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フォルダ一覧を取得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9</xdr:row>
          <xdr:rowOff>7620</xdr:rowOff>
        </xdr:from>
        <xdr:to>
          <xdr:col>1</xdr:col>
          <xdr:colOff>1661160</xdr:colOff>
          <xdr:row>10</xdr:row>
          <xdr:rowOff>198120</xdr:rowOff>
        </xdr:to>
        <xdr:sp macro="" textlink="">
          <xdr:nvSpPr>
            <xdr:cNvPr id="2067" name="Button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0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出力フォルダ生成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個別バッチ出力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1676400</xdr:colOff>
          <xdr:row>9</xdr:row>
          <xdr:rowOff>7620</xdr:rowOff>
        </xdr:from>
        <xdr:to>
          <xdr:col>1</xdr:col>
          <xdr:colOff>3329940</xdr:colOff>
          <xdr:row>10</xdr:row>
          <xdr:rowOff>198120</xdr:rowOff>
        </xdr:to>
        <xdr:sp macro="" textlink="">
          <xdr:nvSpPr>
            <xdr:cNvPr id="2069" name="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0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系毎にバッチ出力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B2908DE-7A84-4470-B209-56E70D7670AE}" name="フォルダ" displayName="フォルダ" ref="A1:A163" totalsRowShown="0">
  <autoFilter ref="A1:A163" xr:uid="{CB2908DE-7A84-4470-B209-56E70D7670AE}"/>
  <tableColumns count="1">
    <tableColumn id="1" xr3:uid="{AE246F9F-CED9-43A5-B5D6-F854792E20A5}" name="フォルダパス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6700BDE-15C5-49B1-AA8A-17CBD4A8B941}" name="国有林レイヤ" displayName="国有林レイヤ" ref="B1:D10" totalsRowShown="0" dataDxfId="2">
  <autoFilter ref="B1:D10" xr:uid="{C6700BDE-15C5-49B1-AA8A-17CBD4A8B941}"/>
  <tableColumns count="3">
    <tableColumn id="1" xr3:uid="{004E1236-64B7-4EEC-8E96-D2949B3518A6}" name="レイヤ名"/>
    <tableColumn id="2" xr3:uid="{548EAD84-6018-4FE6-A551-9D5D1619AD33}" name="文字コード化" dataDxfId="1">
      <calculatedColumnFormula>"\u"&amp;IF(_xlfn.UNICODE($B2)&lt;4096,LEFT($B2,1),LOWER(DEC2HEX(_xlfn.UNICODE($B2)))
&amp;IF(LEN($B2)&gt;1,IF(_xlfn.UNICODE(MID($B2,2,1))&lt;4096,MID($B2,2,1),"\u"&amp;LOWER(DEC2HEX(_xlfn.UNICODE(MID($B2,2,1))))),)
&amp;IF(LEN($B2)&gt;2,IF(_xlfn.UNICODE(MID($B2,3,1))&lt;4096,MID($B2,3,1),"\u"&amp;LOWER(DEC2HEX(_xlfn.UNICODE(MID($B2,3,1))))),)
&amp;IF(LEN($B2)&gt;3,IF(_xlfn.UNICODE(MID($B2,4,1))&lt;4096,MID($B2,4,1),"\u"&amp;LOWER(DEC2HEX(_xlfn.UNICODE(MID($B2,4,1))))),)
&amp;IF(LEN($B2)&gt;4,IF(_xlfn.UNICODE(MID($B2,5,1))&lt;4096,MID($B2,5,1),"\u"&amp;LOWER(DEC2HEX(_xlfn.UNICODE(MID($B2,5,1))))),)
&amp;IF(LEN($B2)&gt;5,IF(_xlfn.UNICODE(MID($B2,6,1))&lt;4096,MID($B2,6,1),"\u"&amp;LOWER(DEC2HEX(_xlfn.UNICODE(MID($B2,6,1))))),)
&amp;IF(LEN($B2)&gt;6,IF(_xlfn.UNICODE(MID($B2,7,1))&lt;4096,MID($B2,7,1),"\u"&amp;LOWER(DEC2HEX(_xlfn.UNICODE(MID($B2,7,1))))),)
&amp;IF(LEN($B2)&gt;7,IF(_xlfn.UNICODE(MID($B2,8,1))&lt;4096,MID($B2,8,1),"\u"&amp;LOWER(DEC2HEX(_xlfn.UNICODE(MID($B2,8,1))))),)
&amp;IF(LEN($B2)&gt;8,IF(_xlfn.UNICODE(MID($B2,9,1))&lt;4096,MID($B2,9,1),"\u"&amp;LOWER(DEC2HEX(_xlfn.UNICODE(MID($B2,9,1))))),)
&amp;IF(LEN($B2)&gt;9,IF(_xlfn.UNICODE(MID($B2,10,1))&lt;4096,MID($B2,10,1),"\u"&amp;LOWER(DEC2HEX(_xlfn.UNICODE(MID($B2,10,1))))),))</calculatedColumnFormula>
    </tableColumn>
    <tableColumn id="7" xr3:uid="{18A14240-0BA7-4AAD-BB09-A528E2BD76A9}" name="変換コード" dataDxfId="0">
      <calculatedColumnFormula>"{""PARAMETERS"": {""2"": ""'"&amp;変換元フォルダUnicode&amp;IF(変換元形式="gpkg",変換元ファイル名Unicode&amp;".gpkg|layername="&amp;C2,C2&amp;".shp")&amp;"'"", ""crsjgd2000"": ""QgsCoordinateReferenceSystem('EPSG:"&amp;_xlfn.XLOOKUP(入力!$B$8,座標系[座標系],座標系[JGD2000],"",0)&amp;"')""}, ""OUTPUTS"": "&amp;IF(変換先形式="gpkg","{"""": ""ogr:dbname='"&amp;変換元フォルダUnicode&amp;出力ファイル名Unicode&amp;".gpkg' table=\"""&amp;$C2&amp;"\"" (geom)""}}","{"""": """&amp;変換先フォルダUnicode&amp;C2&amp;".shp""}}")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0235D3F-1A81-4BF6-82DA-A6263DECC655}" name="一括JSON" displayName="一括JSON" ref="A1:C1297" totalsRowShown="0">
  <autoFilter ref="A1:C1297" xr:uid="{E0235D3F-1A81-4BF6-82DA-A6263DECC655}"/>
  <tableColumns count="3">
    <tableColumn id="1" xr3:uid="{E069A156-2940-4C24-8B61-CC124D57A939}" name="フォルダパス"/>
    <tableColumn id="2" xr3:uid="{12AAB82A-2327-4056-99F6-C13D9E9AB8FC}" name="レイヤ名"/>
    <tableColumn id="3" xr3:uid="{49C05BD9-4002-47BC-82D8-2B8E603669DD}" name="変換コード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6874966-BD16-47D9-BE5C-6E6FABF8FCB4}" name="座標系" displayName="座標系" ref="A1:C20" totalsRowShown="0">
  <autoFilter ref="A1:C20" xr:uid="{26874966-BD16-47D9-BE5C-6E6FABF8FCB4}"/>
  <tableColumns count="3">
    <tableColumn id="1" xr3:uid="{373E46D2-3BA1-451E-ACED-C05601D02B5C}" name="座標系"/>
    <tableColumn id="2" xr3:uid="{CDF18ED3-912A-4134-8B1D-E99662667357}" name="JGD2000"/>
    <tableColumn id="3" xr3:uid="{27A851B4-FFA5-4FB3-B8A6-7013C8147352}" name="TOKY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7C3D67-36D0-48DF-9773-75232219D35E}">
  <sheetPr codeName="Sheet1"/>
  <dimension ref="A1:K8"/>
  <sheetViews>
    <sheetView tabSelected="1" topLeftCell="A3" zoomScale="130" zoomScaleNormal="130" workbookViewId="0">
      <selection activeCell="B13" sqref="B13"/>
    </sheetView>
  </sheetViews>
  <sheetFormatPr defaultRowHeight="18"/>
  <cols>
    <col min="1" max="1" width="21.69921875" bestFit="1" customWidth="1"/>
    <col min="2" max="2" width="48" customWidth="1"/>
    <col min="3" max="3" width="43.19921875" hidden="1" customWidth="1"/>
  </cols>
  <sheetData>
    <row r="1" spans="1:11" ht="34.200000000000003" customHeight="1"/>
    <row r="2" spans="1:11">
      <c r="A2" s="4" t="s">
        <v>0</v>
      </c>
      <c r="B2" s="5" t="s">
        <v>543</v>
      </c>
      <c r="C2" t="str">
        <f>IFERROR(LEFT(変換元フォルダ,FIND("＊",SUBSTITUTE(変換元フォルダ,"\","＊",LEN(変換元フォルダ)-LEN(SUBSTITUTE(変換元フォルダ,"\",""))))-1),"")</f>
        <v>E:\G空間情報センター\47沖縄県\158宮古八重山森林計画区</v>
      </c>
    </row>
    <row r="3" spans="1:11">
      <c r="A3" s="4" t="s">
        <v>1</v>
      </c>
      <c r="B3" s="6" t="s">
        <v>358</v>
      </c>
    </row>
    <row r="4" spans="1:11">
      <c r="A4" s="4" t="s">
        <v>32</v>
      </c>
      <c r="B4" s="6" t="s">
        <v>353</v>
      </c>
      <c r="D4" t="s">
        <v>33</v>
      </c>
    </row>
    <row r="5" spans="1:11">
      <c r="A5" s="4" t="s">
        <v>34</v>
      </c>
      <c r="B5" s="5" t="str">
        <f>IF($C$2&lt;&gt;"",CONCATENATE($C$2,"TKY2JGD\",出力ファイル名),"")</f>
        <v>E:\G空間情報センター\47沖縄県\158宮古八重山森林計画区TKY2JGD\第16系</v>
      </c>
      <c r="C5" t="str">
        <f>CONCATENATE($C$2,"TKY2JGD")</f>
        <v>E:\G空間情報センター\47沖縄県\158宮古八重山森林計画区TKY2JGD</v>
      </c>
      <c r="D5" t="s">
        <v>366</v>
      </c>
      <c r="G5" s="9"/>
    </row>
    <row r="6" spans="1:11">
      <c r="A6" s="4" t="s">
        <v>7</v>
      </c>
      <c r="B6" s="6" t="s">
        <v>379</v>
      </c>
    </row>
    <row r="7" spans="1:11">
      <c r="A7" s="4" t="s">
        <v>16</v>
      </c>
      <c r="B7" s="6" t="str">
        <f>IFERROR(RIGHT(変換元フォルダ,LEN(変換元フォルダ)-FIND("＊",SUBSTITUTE(変換元フォルダ,"\","＊",LEN(変換元フォルダ)-LEN(SUBSTITUTE(変換元フォルダ,"\",""))))),"")</f>
        <v>第16系</v>
      </c>
      <c r="C7" s="2" t="str">
        <f>文字コード変換用!$D$1</f>
        <v>\u7b2c16\u7cfb</v>
      </c>
      <c r="D7" t="s">
        <v>370</v>
      </c>
      <c r="G7" s="9"/>
      <c r="K7" s="9"/>
    </row>
    <row r="8" spans="1:11">
      <c r="A8" s="4" t="s">
        <v>6</v>
      </c>
      <c r="B8" s="6" t="str">
        <f>MID(変換元フォルダ,FIND("第",変換元フォルダ)+1,FIND("系",変換元フォルダ)-FIND("第",変換元フォルダ))</f>
        <v>16系</v>
      </c>
      <c r="C8" s="2"/>
      <c r="D8" t="s">
        <v>1856</v>
      </c>
    </row>
  </sheetData>
  <phoneticPr fontId="1"/>
  <conditionalFormatting sqref="B4">
    <cfRule type="expression" dxfId="5" priority="3">
      <formula>$B$3="shp"</formula>
    </cfRule>
  </conditionalFormatting>
  <conditionalFormatting sqref="B5">
    <cfRule type="expression" dxfId="4" priority="2">
      <formula>$B$6="gpkg"</formula>
    </cfRule>
  </conditionalFormatting>
  <conditionalFormatting sqref="B7">
    <cfRule type="expression" dxfId="3" priority="1">
      <formula>$B$6&lt;&gt;"gpkg"</formula>
    </cfRule>
  </conditionalFormatting>
  <dataValidations count="4">
    <dataValidation type="list" allowBlank="1" showInputMessage="1" sqref="B8" xr:uid="{869BB2A7-E04E-4FF5-8723-E20A585867CE}">
      <formula1>INDIRECT("座標系[座標系]")</formula1>
    </dataValidation>
    <dataValidation type="list" allowBlank="1" showInputMessage="1" showErrorMessage="1" sqref="B3" xr:uid="{6E38ED93-A025-46C7-846A-12DF1383CCC9}">
      <formula1>"gpkg,shp"</formula1>
    </dataValidation>
    <dataValidation type="list" allowBlank="1" showInputMessage="1" showErrorMessage="1" sqref="B6" xr:uid="{AECB3892-E9A9-4647-9EBC-EBC6802FF755}">
      <formula1>"gpkg,shp,fgb"</formula1>
    </dataValidation>
    <dataValidation type="list" allowBlank="1" showInputMessage="1" sqref="B2" xr:uid="{472498BF-5799-426E-99B6-800E2CCE8568}">
      <formula1>INDIRECT("フォルダ[フォルダパス]")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入力フォルダ選択">
                <anchor moveWithCells="1" sizeWithCells="1">
                  <from>
                    <xdr:col>0</xdr:col>
                    <xdr:colOff>1379220</xdr:colOff>
                    <xdr:row>1</xdr:row>
                    <xdr:rowOff>0</xdr:rowOff>
                  </from>
                  <to>
                    <xdr:col>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5" name="Button 10">
              <controlPr defaultSize="0" print="0" autoFill="0" autoPict="0" macro="[0]!JSON出力">
                <anchor moveWithCells="1" sizeWithCells="1">
                  <from>
                    <xdr:col>1</xdr:col>
                    <xdr:colOff>1821180</xdr:colOff>
                    <xdr:row>0</xdr:row>
                    <xdr:rowOff>15240</xdr:rowOff>
                  </from>
                  <to>
                    <xdr:col>1</xdr:col>
                    <xdr:colOff>3771900</xdr:colOff>
                    <xdr:row>0</xdr:row>
                    <xdr:rowOff>411480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6" name="Button 14">
              <controlPr defaultSize="0" print="0" autoFill="0" autoPict="0" macro="[0]!出力フォルダ選択">
                <anchor moveWithCells="1" sizeWithCells="1">
                  <from>
                    <xdr:col>0</xdr:col>
                    <xdr:colOff>1379220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7" name="Button 15">
              <controlPr defaultSize="0" print="0" autoFill="0" autoPict="0" macro="[0]!GetLeafFolderList">
                <anchor moveWithCells="1" sizeWithCells="1">
                  <from>
                    <xdr:col>0</xdr:col>
                    <xdr:colOff>0</xdr:colOff>
                    <xdr:row>9</xdr:row>
                    <xdr:rowOff>7620</xdr:rowOff>
                  </from>
                  <to>
                    <xdr:col>1</xdr:col>
                    <xdr:colOff>0</xdr:colOff>
                    <xdr:row>10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8" name="Button 19">
              <controlPr defaultSize="0" print="0" autoFill="0" autoPict="0" macro="[0]!JSON出力フォルダ毎">
                <anchor moveWithCells="1" sizeWithCells="1">
                  <from>
                    <xdr:col>1</xdr:col>
                    <xdr:colOff>7620</xdr:colOff>
                    <xdr:row>9</xdr:row>
                    <xdr:rowOff>7620</xdr:rowOff>
                  </from>
                  <to>
                    <xdr:col>1</xdr:col>
                    <xdr:colOff>1661160</xdr:colOff>
                    <xdr:row>10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9" name="Button 21">
              <controlPr defaultSize="0" print="0" autoFill="0" autoPict="0" macro="[0]!系別JSON出力">
                <anchor moveWithCells="1" sizeWithCells="1">
                  <from>
                    <xdr:col>1</xdr:col>
                    <xdr:colOff>1676400</xdr:colOff>
                    <xdr:row>9</xdr:row>
                    <xdr:rowOff>7620</xdr:rowOff>
                  </from>
                  <to>
                    <xdr:col>1</xdr:col>
                    <xdr:colOff>3329940</xdr:colOff>
                    <xdr:row>10</xdr:row>
                    <xdr:rowOff>198120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8EDC36-60BD-4730-93AD-A26155013B4F}">
  <sheetPr codeName="Sheet7"/>
  <dimension ref="A1:A163"/>
  <sheetViews>
    <sheetView topLeftCell="A82" workbookViewId="0">
      <selection activeCell="C10" sqref="C10"/>
    </sheetView>
  </sheetViews>
  <sheetFormatPr defaultRowHeight="18"/>
  <cols>
    <col min="1" max="1" width="61.69921875" bestFit="1" customWidth="1"/>
  </cols>
  <sheetData>
    <row r="1" spans="1:1">
      <c r="A1" t="s">
        <v>542</v>
      </c>
    </row>
    <row r="2" spans="1:1">
      <c r="A2" t="s">
        <v>380</v>
      </c>
    </row>
    <row r="3" spans="1:1">
      <c r="A3" t="s">
        <v>381</v>
      </c>
    </row>
    <row r="4" spans="1:1">
      <c r="A4" t="s">
        <v>382</v>
      </c>
    </row>
    <row r="5" spans="1:1">
      <c r="A5" t="s">
        <v>383</v>
      </c>
    </row>
    <row r="6" spans="1:1">
      <c r="A6" t="s">
        <v>384</v>
      </c>
    </row>
    <row r="7" spans="1:1">
      <c r="A7" t="s">
        <v>385</v>
      </c>
    </row>
    <row r="8" spans="1:1">
      <c r="A8" t="s">
        <v>386</v>
      </c>
    </row>
    <row r="9" spans="1:1">
      <c r="A9" t="s">
        <v>387</v>
      </c>
    </row>
    <row r="10" spans="1:1">
      <c r="A10" t="s">
        <v>388</v>
      </c>
    </row>
    <row r="11" spans="1:1">
      <c r="A11" t="s">
        <v>389</v>
      </c>
    </row>
    <row r="12" spans="1:1">
      <c r="A12" t="s">
        <v>390</v>
      </c>
    </row>
    <row r="13" spans="1:1">
      <c r="A13" t="s">
        <v>391</v>
      </c>
    </row>
    <row r="14" spans="1:1">
      <c r="A14" t="s">
        <v>392</v>
      </c>
    </row>
    <row r="15" spans="1:1">
      <c r="A15" t="s">
        <v>393</v>
      </c>
    </row>
    <row r="16" spans="1:1">
      <c r="A16" t="s">
        <v>394</v>
      </c>
    </row>
    <row r="17" spans="1:1">
      <c r="A17" t="s">
        <v>395</v>
      </c>
    </row>
    <row r="18" spans="1:1">
      <c r="A18" t="s">
        <v>396</v>
      </c>
    </row>
    <row r="19" spans="1:1">
      <c r="A19" t="s">
        <v>397</v>
      </c>
    </row>
    <row r="20" spans="1:1">
      <c r="A20" t="s">
        <v>398</v>
      </c>
    </row>
    <row r="21" spans="1:1">
      <c r="A21" t="s">
        <v>399</v>
      </c>
    </row>
    <row r="22" spans="1:1">
      <c r="A22" t="s">
        <v>400</v>
      </c>
    </row>
    <row r="23" spans="1:1">
      <c r="A23" t="s">
        <v>401</v>
      </c>
    </row>
    <row r="24" spans="1:1">
      <c r="A24" t="s">
        <v>402</v>
      </c>
    </row>
    <row r="25" spans="1:1">
      <c r="A25" t="s">
        <v>403</v>
      </c>
    </row>
    <row r="26" spans="1:1">
      <c r="A26" t="s">
        <v>404</v>
      </c>
    </row>
    <row r="27" spans="1:1">
      <c r="A27" t="s">
        <v>405</v>
      </c>
    </row>
    <row r="28" spans="1:1">
      <c r="A28" t="s">
        <v>406</v>
      </c>
    </row>
    <row r="29" spans="1:1">
      <c r="A29" t="s">
        <v>407</v>
      </c>
    </row>
    <row r="30" spans="1:1">
      <c r="A30" t="s">
        <v>408</v>
      </c>
    </row>
    <row r="31" spans="1:1">
      <c r="A31" t="s">
        <v>409</v>
      </c>
    </row>
    <row r="32" spans="1:1">
      <c r="A32" t="s">
        <v>410</v>
      </c>
    </row>
    <row r="33" spans="1:1">
      <c r="A33" t="s">
        <v>411</v>
      </c>
    </row>
    <row r="34" spans="1:1">
      <c r="A34" t="s">
        <v>412</v>
      </c>
    </row>
    <row r="35" spans="1:1">
      <c r="A35" t="s">
        <v>413</v>
      </c>
    </row>
    <row r="36" spans="1:1">
      <c r="A36" t="s">
        <v>414</v>
      </c>
    </row>
    <row r="37" spans="1:1">
      <c r="A37" t="s">
        <v>415</v>
      </c>
    </row>
    <row r="38" spans="1:1">
      <c r="A38" t="s">
        <v>416</v>
      </c>
    </row>
    <row r="39" spans="1:1">
      <c r="A39" t="s">
        <v>417</v>
      </c>
    </row>
    <row r="40" spans="1:1">
      <c r="A40" t="s">
        <v>418</v>
      </c>
    </row>
    <row r="41" spans="1:1">
      <c r="A41" t="s">
        <v>419</v>
      </c>
    </row>
    <row r="42" spans="1:1">
      <c r="A42" t="s">
        <v>420</v>
      </c>
    </row>
    <row r="43" spans="1:1">
      <c r="A43" t="s">
        <v>421</v>
      </c>
    </row>
    <row r="44" spans="1:1">
      <c r="A44" t="s">
        <v>422</v>
      </c>
    </row>
    <row r="45" spans="1:1">
      <c r="A45" t="s">
        <v>423</v>
      </c>
    </row>
    <row r="46" spans="1:1">
      <c r="A46" t="s">
        <v>424</v>
      </c>
    </row>
    <row r="47" spans="1:1">
      <c r="A47" t="s">
        <v>425</v>
      </c>
    </row>
    <row r="48" spans="1:1">
      <c r="A48" t="s">
        <v>426</v>
      </c>
    </row>
    <row r="49" spans="1:1">
      <c r="A49" t="s">
        <v>427</v>
      </c>
    </row>
    <row r="50" spans="1:1">
      <c r="A50" t="s">
        <v>428</v>
      </c>
    </row>
    <row r="51" spans="1:1">
      <c r="A51" t="s">
        <v>429</v>
      </c>
    </row>
    <row r="52" spans="1:1">
      <c r="A52" t="s">
        <v>430</v>
      </c>
    </row>
    <row r="53" spans="1:1">
      <c r="A53" t="s">
        <v>431</v>
      </c>
    </row>
    <row r="54" spans="1:1">
      <c r="A54" t="s">
        <v>432</v>
      </c>
    </row>
    <row r="55" spans="1:1">
      <c r="A55" t="s">
        <v>433</v>
      </c>
    </row>
    <row r="56" spans="1:1">
      <c r="A56" t="s">
        <v>434</v>
      </c>
    </row>
    <row r="57" spans="1:1">
      <c r="A57" t="s">
        <v>435</v>
      </c>
    </row>
    <row r="58" spans="1:1">
      <c r="A58" t="s">
        <v>436</v>
      </c>
    </row>
    <row r="59" spans="1:1">
      <c r="A59" t="s">
        <v>437</v>
      </c>
    </row>
    <row r="60" spans="1:1">
      <c r="A60" t="s">
        <v>438</v>
      </c>
    </row>
    <row r="61" spans="1:1">
      <c r="A61" t="s">
        <v>439</v>
      </c>
    </row>
    <row r="62" spans="1:1">
      <c r="A62" t="s">
        <v>440</v>
      </c>
    </row>
    <row r="63" spans="1:1">
      <c r="A63" t="s">
        <v>441</v>
      </c>
    </row>
    <row r="64" spans="1:1">
      <c r="A64" t="s">
        <v>442</v>
      </c>
    </row>
    <row r="65" spans="1:1">
      <c r="A65" t="s">
        <v>443</v>
      </c>
    </row>
    <row r="66" spans="1:1">
      <c r="A66" t="s">
        <v>444</v>
      </c>
    </row>
    <row r="67" spans="1:1">
      <c r="A67" t="s">
        <v>445</v>
      </c>
    </row>
    <row r="68" spans="1:1">
      <c r="A68" t="s">
        <v>446</v>
      </c>
    </row>
    <row r="69" spans="1:1">
      <c r="A69" t="s">
        <v>447</v>
      </c>
    </row>
    <row r="70" spans="1:1">
      <c r="A70" t="s">
        <v>448</v>
      </c>
    </row>
    <row r="71" spans="1:1">
      <c r="A71" t="s">
        <v>449</v>
      </c>
    </row>
    <row r="72" spans="1:1">
      <c r="A72" t="s">
        <v>450</v>
      </c>
    </row>
    <row r="73" spans="1:1">
      <c r="A73" t="s">
        <v>451</v>
      </c>
    </row>
    <row r="74" spans="1:1">
      <c r="A74" t="s">
        <v>452</v>
      </c>
    </row>
    <row r="75" spans="1:1">
      <c r="A75" t="s">
        <v>453</v>
      </c>
    </row>
    <row r="76" spans="1:1">
      <c r="A76" t="s">
        <v>454</v>
      </c>
    </row>
    <row r="77" spans="1:1">
      <c r="A77" t="s">
        <v>455</v>
      </c>
    </row>
    <row r="78" spans="1:1">
      <c r="A78" t="s">
        <v>456</v>
      </c>
    </row>
    <row r="79" spans="1:1">
      <c r="A79" t="s">
        <v>457</v>
      </c>
    </row>
    <row r="80" spans="1:1">
      <c r="A80" t="s">
        <v>458</v>
      </c>
    </row>
    <row r="81" spans="1:1">
      <c r="A81" t="s">
        <v>459</v>
      </c>
    </row>
    <row r="82" spans="1:1">
      <c r="A82" t="s">
        <v>460</v>
      </c>
    </row>
    <row r="83" spans="1:1">
      <c r="A83" t="s">
        <v>461</v>
      </c>
    </row>
    <row r="84" spans="1:1">
      <c r="A84" t="s">
        <v>462</v>
      </c>
    </row>
    <row r="85" spans="1:1">
      <c r="A85" t="s">
        <v>463</v>
      </c>
    </row>
    <row r="86" spans="1:1">
      <c r="A86" t="s">
        <v>464</v>
      </c>
    </row>
    <row r="87" spans="1:1">
      <c r="A87" t="s">
        <v>465</v>
      </c>
    </row>
    <row r="88" spans="1:1">
      <c r="A88" t="s">
        <v>466</v>
      </c>
    </row>
    <row r="89" spans="1:1">
      <c r="A89" t="s">
        <v>467</v>
      </c>
    </row>
    <row r="90" spans="1:1">
      <c r="A90" t="s">
        <v>468</v>
      </c>
    </row>
    <row r="91" spans="1:1">
      <c r="A91" t="s">
        <v>469</v>
      </c>
    </row>
    <row r="92" spans="1:1">
      <c r="A92" t="s">
        <v>470</v>
      </c>
    </row>
    <row r="93" spans="1:1">
      <c r="A93" t="s">
        <v>471</v>
      </c>
    </row>
    <row r="94" spans="1:1">
      <c r="A94" t="s">
        <v>472</v>
      </c>
    </row>
    <row r="95" spans="1:1">
      <c r="A95" t="s">
        <v>473</v>
      </c>
    </row>
    <row r="96" spans="1:1">
      <c r="A96" t="s">
        <v>474</v>
      </c>
    </row>
    <row r="97" spans="1:1">
      <c r="A97" t="s">
        <v>475</v>
      </c>
    </row>
    <row r="98" spans="1:1">
      <c r="A98" t="s">
        <v>476</v>
      </c>
    </row>
    <row r="99" spans="1:1">
      <c r="A99" t="s">
        <v>477</v>
      </c>
    </row>
    <row r="100" spans="1:1">
      <c r="A100" t="s">
        <v>478</v>
      </c>
    </row>
    <row r="101" spans="1:1">
      <c r="A101" t="s">
        <v>479</v>
      </c>
    </row>
    <row r="102" spans="1:1">
      <c r="A102" t="s">
        <v>480</v>
      </c>
    </row>
    <row r="103" spans="1:1">
      <c r="A103" t="s">
        <v>481</v>
      </c>
    </row>
    <row r="104" spans="1:1">
      <c r="A104" t="s">
        <v>482</v>
      </c>
    </row>
    <row r="105" spans="1:1">
      <c r="A105" t="s">
        <v>483</v>
      </c>
    </row>
    <row r="106" spans="1:1">
      <c r="A106" t="s">
        <v>484</v>
      </c>
    </row>
    <row r="107" spans="1:1">
      <c r="A107" t="s">
        <v>485</v>
      </c>
    </row>
    <row r="108" spans="1:1">
      <c r="A108" t="s">
        <v>486</v>
      </c>
    </row>
    <row r="109" spans="1:1">
      <c r="A109" t="s">
        <v>487</v>
      </c>
    </row>
    <row r="110" spans="1:1">
      <c r="A110" t="s">
        <v>488</v>
      </c>
    </row>
    <row r="111" spans="1:1">
      <c r="A111" t="s">
        <v>489</v>
      </c>
    </row>
    <row r="112" spans="1:1">
      <c r="A112" t="s">
        <v>490</v>
      </c>
    </row>
    <row r="113" spans="1:1">
      <c r="A113" t="s">
        <v>491</v>
      </c>
    </row>
    <row r="114" spans="1:1">
      <c r="A114" t="s">
        <v>492</v>
      </c>
    </row>
    <row r="115" spans="1:1">
      <c r="A115" t="s">
        <v>493</v>
      </c>
    </row>
    <row r="116" spans="1:1">
      <c r="A116" t="s">
        <v>494</v>
      </c>
    </row>
    <row r="117" spans="1:1">
      <c r="A117" t="s">
        <v>495</v>
      </c>
    </row>
    <row r="118" spans="1:1">
      <c r="A118" t="s">
        <v>496</v>
      </c>
    </row>
    <row r="119" spans="1:1">
      <c r="A119" t="s">
        <v>497</v>
      </c>
    </row>
    <row r="120" spans="1:1">
      <c r="A120" t="s">
        <v>498</v>
      </c>
    </row>
    <row r="121" spans="1:1">
      <c r="A121" t="s">
        <v>499</v>
      </c>
    </row>
    <row r="122" spans="1:1">
      <c r="A122" t="s">
        <v>500</v>
      </c>
    </row>
    <row r="123" spans="1:1">
      <c r="A123" t="s">
        <v>501</v>
      </c>
    </row>
    <row r="124" spans="1:1">
      <c r="A124" t="s">
        <v>502</v>
      </c>
    </row>
    <row r="125" spans="1:1">
      <c r="A125" t="s">
        <v>503</v>
      </c>
    </row>
    <row r="126" spans="1:1">
      <c r="A126" t="s">
        <v>504</v>
      </c>
    </row>
    <row r="127" spans="1:1">
      <c r="A127" t="s">
        <v>505</v>
      </c>
    </row>
    <row r="128" spans="1:1">
      <c r="A128" t="s">
        <v>506</v>
      </c>
    </row>
    <row r="129" spans="1:1">
      <c r="A129" t="s">
        <v>507</v>
      </c>
    </row>
    <row r="130" spans="1:1">
      <c r="A130" t="s">
        <v>508</v>
      </c>
    </row>
    <row r="131" spans="1:1">
      <c r="A131" t="s">
        <v>509</v>
      </c>
    </row>
    <row r="132" spans="1:1">
      <c r="A132" t="s">
        <v>510</v>
      </c>
    </row>
    <row r="133" spans="1:1">
      <c r="A133" t="s">
        <v>511</v>
      </c>
    </row>
    <row r="134" spans="1:1">
      <c r="A134" t="s">
        <v>512</v>
      </c>
    </row>
    <row r="135" spans="1:1">
      <c r="A135" t="s">
        <v>513</v>
      </c>
    </row>
    <row r="136" spans="1:1">
      <c r="A136" t="s">
        <v>514</v>
      </c>
    </row>
    <row r="137" spans="1:1">
      <c r="A137" t="s">
        <v>515</v>
      </c>
    </row>
    <row r="138" spans="1:1">
      <c r="A138" t="s">
        <v>516</v>
      </c>
    </row>
    <row r="139" spans="1:1">
      <c r="A139" t="s">
        <v>517</v>
      </c>
    </row>
    <row r="140" spans="1:1">
      <c r="A140" t="s">
        <v>518</v>
      </c>
    </row>
    <row r="141" spans="1:1">
      <c r="A141" t="s">
        <v>519</v>
      </c>
    </row>
    <row r="142" spans="1:1">
      <c r="A142" t="s">
        <v>520</v>
      </c>
    </row>
    <row r="143" spans="1:1">
      <c r="A143" t="s">
        <v>521</v>
      </c>
    </row>
    <row r="144" spans="1:1">
      <c r="A144" t="s">
        <v>522</v>
      </c>
    </row>
    <row r="145" spans="1:1">
      <c r="A145" t="s">
        <v>523</v>
      </c>
    </row>
    <row r="146" spans="1:1">
      <c r="A146" t="s">
        <v>524</v>
      </c>
    </row>
    <row r="147" spans="1:1">
      <c r="A147" t="s">
        <v>525</v>
      </c>
    </row>
    <row r="148" spans="1:1">
      <c r="A148" t="s">
        <v>526</v>
      </c>
    </row>
    <row r="149" spans="1:1">
      <c r="A149" t="s">
        <v>527</v>
      </c>
    </row>
    <row r="150" spans="1:1">
      <c r="A150" t="s">
        <v>528</v>
      </c>
    </row>
    <row r="151" spans="1:1">
      <c r="A151" t="s">
        <v>529</v>
      </c>
    </row>
    <row r="152" spans="1:1">
      <c r="A152" t="s">
        <v>530</v>
      </c>
    </row>
    <row r="153" spans="1:1">
      <c r="A153" t="s">
        <v>531</v>
      </c>
    </row>
    <row r="154" spans="1:1">
      <c r="A154" t="s">
        <v>532</v>
      </c>
    </row>
    <row r="155" spans="1:1">
      <c r="A155" t="s">
        <v>533</v>
      </c>
    </row>
    <row r="156" spans="1:1">
      <c r="A156" t="s">
        <v>534</v>
      </c>
    </row>
    <row r="157" spans="1:1">
      <c r="A157" t="s">
        <v>535</v>
      </c>
    </row>
    <row r="158" spans="1:1">
      <c r="A158" t="s">
        <v>536</v>
      </c>
    </row>
    <row r="159" spans="1:1">
      <c r="A159" t="s">
        <v>537</v>
      </c>
    </row>
    <row r="160" spans="1:1">
      <c r="A160" t="s">
        <v>538</v>
      </c>
    </row>
    <row r="161" spans="1:1">
      <c r="A161" t="s">
        <v>539</v>
      </c>
    </row>
    <row r="162" spans="1:1">
      <c r="A162" t="s">
        <v>540</v>
      </c>
    </row>
    <row r="163" spans="1:1">
      <c r="A163" t="s">
        <v>541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AEE508-11EE-4403-A7E3-FECD6EC92683}">
  <sheetPr codeName="Sheet3"/>
  <dimension ref="B1:D10"/>
  <sheetViews>
    <sheetView topLeftCell="B1" workbookViewId="0">
      <selection activeCell="D14" sqref="D14"/>
    </sheetView>
  </sheetViews>
  <sheetFormatPr defaultRowHeight="18"/>
  <cols>
    <col min="1" max="1" width="0" hidden="1" customWidth="1"/>
    <col min="2" max="2" width="14.3984375" bestFit="1" customWidth="1"/>
    <col min="3" max="3" width="19.59765625" customWidth="1"/>
    <col min="4" max="4" width="195" customWidth="1"/>
  </cols>
  <sheetData>
    <row r="1" spans="2:4">
      <c r="B1" t="s">
        <v>30</v>
      </c>
      <c r="C1" t="s">
        <v>31</v>
      </c>
      <c r="D1" t="s">
        <v>363</v>
      </c>
    </row>
    <row r="2" spans="2:4">
      <c r="B2" t="s">
        <v>2</v>
      </c>
      <c r="C2" s="3" t="str">
        <f t="shared" ref="C2:C8" si="0">"\u"&amp;IF(_xlfn.UNICODE($B2)&lt;4096,LEFT($B2,1),LOWER(DEC2HEX(_xlfn.UNICODE($B2)))
&amp;IF(LEN($B2)&gt;1,IF(_xlfn.UNICODE(MID($B2,2,1))&lt;4096,MID($B2,2,1),"\u"&amp;LOWER(DEC2HEX(_xlfn.UNICODE(MID($B2,2,1))))),)
&amp;IF(LEN($B2)&gt;2,IF(_xlfn.UNICODE(MID($B2,3,1))&lt;4096,MID($B2,3,1),"\u"&amp;LOWER(DEC2HEX(_xlfn.UNICODE(MID($B2,3,1))))),)
&amp;IF(LEN($B2)&gt;3,IF(_xlfn.UNICODE(MID($B2,4,1))&lt;4096,MID($B2,4,1),"\u"&amp;LOWER(DEC2HEX(_xlfn.UNICODE(MID($B2,4,1))))),)
&amp;IF(LEN($B2)&gt;4,IF(_xlfn.UNICODE(MID($B2,5,1))&lt;4096,MID($B2,5,1),"\u"&amp;LOWER(DEC2HEX(_xlfn.UNICODE(MID($B2,5,1))))),)
&amp;IF(LEN($B2)&gt;5,IF(_xlfn.UNICODE(MID($B2,6,1))&lt;4096,MID($B2,6,1),"\u"&amp;LOWER(DEC2HEX(_xlfn.UNICODE(MID($B2,6,1))))),)
&amp;IF(LEN($B2)&gt;6,IF(_xlfn.UNICODE(MID($B2,7,1))&lt;4096,MID($B2,7,1),"\u"&amp;LOWER(DEC2HEX(_xlfn.UNICODE(MID($B2,7,1))))),)
&amp;IF(LEN($B2)&gt;7,IF(_xlfn.UNICODE(MID($B2,8,1))&lt;4096,MID($B2,8,1),"\u"&amp;LOWER(DEC2HEX(_xlfn.UNICODE(MID($B2,8,1))))),)
&amp;IF(LEN($B2)&gt;8,IF(_xlfn.UNICODE(MID($B2,9,1))&lt;4096,MID($B2,9,1),"\u"&amp;LOWER(DEC2HEX(_xlfn.UNICODE(MID($B2,9,1))))),)
&amp;IF(LEN($B2)&gt;9,IF(_xlfn.UNICODE(MID($B2,10,1))&lt;4096,MID($B2,10,1),"\u"&amp;LOWER(DEC2HEX(_xlfn.UNICODE(MID($B2,10,1))))),))</f>
        <v>\u5883\u754c</v>
      </c>
      <c r="D2" s="1" t="str">
        <f>"{""PARAMETERS"": {""2"": ""'"&amp;変換元フォルダUnicode&amp;IF(変換元形式="gpkg",変換元ファイル名Unicode&amp;".gpkg|layername="&amp;C2,C2&amp;".shp")&amp;"'"", ""crsjgd2000"": ""QgsCoordinateReferenceSystem('EPSG:"&amp;_xlfn.XLOOKUP(入力!$B$8,座標系[座標系],座標系[JGD2000],"",0)&amp;"')""}, ""OUTPUTS"": "&amp;IF(変換先形式="gpkg","{"""": ""ogr:dbname='"&amp;変換元フォルダUnicode&amp;出力ファイル名Unicode&amp;".gpkg' table=\"""&amp;$C2&amp;"\"" (geom)""}}","{"""": """&amp;変換先フォルダUnicode&amp;C2&amp;"."&amp;変換先形式&amp;"""}}")</f>
        <v>{"PARAMETERS": {"2": "'E:/G\u7a7a\u9593\u60c5\u5831\u30bb\u30f3\u30bf\u30fc/47\u6c96\u7e04\u770c/158\u5bae\u53e4\u516b\u91cd\u5c71\u68ee\u6797\u8a08\u753b\u533a/\u7b2c16\u7cfb/\u5883\u754c.shp'", "crsjgd2000": "QgsCoordinateReferenceSystem('EPSG:2458')"}, "OUTPUTS": {"": "E:/G\u7a7a\u9593\u60c5\u5831\u30bb\u30f3\u30bf\u30fc/47\u6c96\u7e04\u770c/158\u5bae\u53e4\u516b\u91cd\u5c71\u68ee\u6797\u8a08\u753b\u533aTKY2JGD/\u7b2c16\u7cfb/\u5883\u754c.fgb"}}</v>
      </c>
    </row>
    <row r="3" spans="2:4">
      <c r="B3" t="s">
        <v>8</v>
      </c>
      <c r="C3" s="3" t="str">
        <f t="shared" si="0"/>
        <v>\u6797\u73ed\u754c</v>
      </c>
      <c r="D3" s="1" t="str">
        <f>"{""PARAMETERS"": {""2"": ""'"&amp;変換元フォルダUnicode&amp;IF(変換元形式="gpkg",変換元ファイル名Unicode&amp;".gpkg|layername="&amp;C3,C3&amp;".shp")&amp;"'"", ""crsjgd2000"": ""QgsCoordinateReferenceSystem('EPSG:"&amp;_xlfn.XLOOKUP(入力!$B$8,座標系[座標系],座標系[JGD2000],"",0)&amp;"')""}, ""OUTPUTS"": "&amp;IF(変換先形式="gpkg","{"""": ""ogr:dbname='"&amp;変換元フォルダUnicode&amp;出力ファイル名Unicode&amp;".gpkg' table=\"""&amp;$C3&amp;"\"" (geom)""}}","{"""": """&amp;変換先フォルダUnicode&amp;C3&amp;"."&amp;変換先形式&amp;"""}}")</f>
        <v>{"PARAMETERS": {"2": "'E:/G\u7a7a\u9593\u60c5\u5831\u30bb\u30f3\u30bf\u30fc/47\u6c96\u7e04\u770c/158\u5bae\u53e4\u516b\u91cd\u5c71\u68ee\u6797\u8a08\u753b\u533a/\u7b2c16\u7cfb/\u6797\u73ed\u754c.shp'", "crsjgd2000": "QgsCoordinateReferenceSystem('EPSG:2458')"}, "OUTPUTS": {"": "E:/G\u7a7a\u9593\u60c5\u5831\u30bb\u30f3\u30bf\u30fc/47\u6c96\u7e04\u770c/158\u5bae\u53e4\u516b\u91cd\u5c71\u68ee\u6797\u8a08\u753b\u533aTKY2JGD/\u7b2c16\u7cfb/\u6797\u73ed\u754c.fgb"}}</v>
      </c>
    </row>
    <row r="4" spans="2:4">
      <c r="B4" t="s">
        <v>9</v>
      </c>
      <c r="C4" s="3" t="str">
        <f t="shared" si="0"/>
        <v>\u6797\u73ed\u533a\u753b</v>
      </c>
      <c r="D4" s="1" t="str">
        <f>"{""PARAMETERS"": {""2"": ""'"&amp;変換元フォルダUnicode&amp;IF(変換元形式="gpkg",変換元ファイル名Unicode&amp;".gpkg|layername="&amp;C4,C4&amp;".shp")&amp;"'"", ""crsjgd2000"": ""QgsCoordinateReferenceSystem('EPSG:"&amp;_xlfn.XLOOKUP(入力!$B$8,座標系[座標系],座標系[JGD2000],"",0)&amp;"')""}, ""OUTPUTS"": "&amp;IF(変換先形式="gpkg","{"""": ""ogr:dbname='"&amp;変換元フォルダUnicode&amp;出力ファイル名Unicode&amp;".gpkg' table=\"""&amp;$C4&amp;"\"" (geom)""}}","{"""": """&amp;変換先フォルダUnicode&amp;C4&amp;"."&amp;変換先形式&amp;"""}}")</f>
        <v>{"PARAMETERS": {"2": "'E:/G\u7a7a\u9593\u60c5\u5831\u30bb\u30f3\u30bf\u30fc/47\u6c96\u7e04\u770c/158\u5bae\u53e4\u516b\u91cd\u5c71\u68ee\u6797\u8a08\u753b\u533a/\u7b2c16\u7cfb/\u6797\u73ed\u533a\u753b.shp'", "crsjgd2000": "QgsCoordinateReferenceSystem('EPSG:2458')"}, "OUTPUTS": {"": "E:/G\u7a7a\u9593\u60c5\u5831\u30bb\u30f3\u30bf\u30fc/47\u6c96\u7e04\u770c/158\u5bae\u53e4\u516b\u91cd\u5c71\u68ee\u6797\u8a08\u753b\u533aTKY2JGD/\u7b2c16\u7cfb/\u6797\u73ed\u533a\u753b.fgb"}}</v>
      </c>
    </row>
    <row r="5" spans="2:4">
      <c r="B5" t="s">
        <v>10</v>
      </c>
      <c r="C5" s="3" t="str">
        <f t="shared" si="0"/>
        <v>\u5c0f\u73ed\u754c</v>
      </c>
      <c r="D5" s="1" t="str">
        <f>"{""PARAMETERS"": {""2"": ""'"&amp;変換元フォルダUnicode&amp;IF(変換元形式="gpkg",変換元ファイル名Unicode&amp;".gpkg|layername="&amp;C5,C5&amp;".shp")&amp;"'"", ""crsjgd2000"": ""QgsCoordinateReferenceSystem('EPSG:"&amp;_xlfn.XLOOKUP(入力!$B$8,座標系[座標系],座標系[JGD2000],"",0)&amp;"')""}, ""OUTPUTS"": "&amp;IF(変換先形式="gpkg","{"""": ""ogr:dbname='"&amp;変換元フォルダUnicode&amp;出力ファイル名Unicode&amp;".gpkg' table=\"""&amp;$C5&amp;"\"" (geom)""}}","{"""": """&amp;変換先フォルダUnicode&amp;C5&amp;"."&amp;変換先形式&amp;"""}}")</f>
        <v>{"PARAMETERS": {"2": "'E:/G\u7a7a\u9593\u60c5\u5831\u30bb\u30f3\u30bf\u30fc/47\u6c96\u7e04\u770c/158\u5bae\u53e4\u516b\u91cd\u5c71\u68ee\u6797\u8a08\u753b\u533a/\u7b2c16\u7cfb/\u5c0f\u73ed\u754c.shp'", "crsjgd2000": "QgsCoordinateReferenceSystem('EPSG:2458')"}, "OUTPUTS": {"": "E:/G\u7a7a\u9593\u60c5\u5831\u30bb\u30f3\u30bf\u30fc/47\u6c96\u7e04\u770c/158\u5bae\u53e4\u516b\u91cd\u5c71\u68ee\u6797\u8a08\u753b\u533aTKY2JGD/\u7b2c16\u7cfb/\u5c0f\u73ed\u754c.fgb"}}</v>
      </c>
    </row>
    <row r="6" spans="2:4">
      <c r="B6" t="s">
        <v>11</v>
      </c>
      <c r="C6" s="3" t="str">
        <f t="shared" si="0"/>
        <v>\u5c0f\u73ed\u533a\u753b</v>
      </c>
      <c r="D6" s="1" t="str">
        <f>"{""PARAMETERS"": {""2"": ""'"&amp;変換元フォルダUnicode&amp;IF(変換元形式="gpkg",変換元ファイル名Unicode&amp;".gpkg|layername="&amp;C6,C6&amp;".shp")&amp;"'"", ""crsjgd2000"": ""QgsCoordinateReferenceSystem('EPSG:"&amp;_xlfn.XLOOKUP(入力!$B$8,座標系[座標系],座標系[JGD2000],"",0)&amp;"')""}, ""OUTPUTS"": "&amp;IF(変換先形式="gpkg","{"""": ""ogr:dbname='"&amp;変換元フォルダUnicode&amp;出力ファイル名Unicode&amp;".gpkg' table=\"""&amp;$C6&amp;"\"" (geom)""}}","{"""": """&amp;変換先フォルダUnicode&amp;C6&amp;"."&amp;変換先形式&amp;"""}}")</f>
        <v>{"PARAMETERS": {"2": "'E:/G\u7a7a\u9593\u60c5\u5831\u30bb\u30f3\u30bf\u30fc/47\u6c96\u7e04\u770c/158\u5bae\u53e4\u516b\u91cd\u5c71\u68ee\u6797\u8a08\u753b\u533a/\u7b2c16\u7cfb/\u5c0f\u73ed\u533a\u753b.shp'", "crsjgd2000": "QgsCoordinateReferenceSystem('EPSG:2458')"}, "OUTPUTS": {"": "E:/G\u7a7a\u9593\u60c5\u5831\u30bb\u30f3\u30bf\u30fc/47\u6c96\u7e04\u770c/158\u5bae\u53e4\u516b\u91cd\u5c71\u68ee\u6797\u8a08\u753b\u533aTKY2JGD/\u7b2c16\u7cfb/\u5c0f\u73ed\u533a\u753b.fgb"}}</v>
      </c>
    </row>
    <row r="7" spans="2:4">
      <c r="B7" t="s">
        <v>12</v>
      </c>
      <c r="C7" s="3" t="str">
        <f t="shared" si="0"/>
        <v>\u6797\u9053</v>
      </c>
      <c r="D7" s="1" t="str">
        <f>"{""PARAMETERS"": {""2"": ""'"&amp;変換元フォルダUnicode&amp;IF(変換元形式="gpkg",変換元ファイル名Unicode&amp;".gpkg|layername="&amp;C7,C7&amp;".shp")&amp;"'"", ""crsjgd2000"": ""QgsCoordinateReferenceSystem('EPSG:"&amp;_xlfn.XLOOKUP(入力!$B$8,座標系[座標系],座標系[JGD2000],"",0)&amp;"')""}, ""OUTPUTS"": "&amp;IF(変換先形式="gpkg","{"""": ""ogr:dbname='"&amp;変換元フォルダUnicode&amp;出力ファイル名Unicode&amp;".gpkg' table=\"""&amp;$C7&amp;"\"" (geom)""}}","{"""": """&amp;変換先フォルダUnicode&amp;C7&amp;"."&amp;変換先形式&amp;"""}}")</f>
        <v>{"PARAMETERS": {"2": "'E:/G\u7a7a\u9593\u60c5\u5831\u30bb\u30f3\u30bf\u30fc/47\u6c96\u7e04\u770c/158\u5bae\u53e4\u516b\u91cd\u5c71\u68ee\u6797\u8a08\u753b\u533a/\u7b2c16\u7cfb/\u6797\u9053.shp'", "crsjgd2000": "QgsCoordinateReferenceSystem('EPSG:2458')"}, "OUTPUTS": {"": "E:/G\u7a7a\u9593\u60c5\u5831\u30bb\u30f3\u30bf\u30fc/47\u6c96\u7e04\u770c/158\u5bae\u53e4\u516b\u91cd\u5c71\u68ee\u6797\u8a08\u753b\u533aTKY2JGD/\u7b2c16\u7cfb/\u6797\u9053.fgb"}}</v>
      </c>
    </row>
    <row r="8" spans="2:4">
      <c r="B8" t="s">
        <v>13</v>
      </c>
      <c r="C8" s="3" t="str">
        <f t="shared" si="0"/>
        <v>\u4f5c\u696d\u9053</v>
      </c>
      <c r="D8" s="1" t="str">
        <f>"{""PARAMETERS"": {""2"": ""'"&amp;変換元フォルダUnicode&amp;IF(変換元形式="gpkg",変換元ファイル名Unicode&amp;".gpkg|layername="&amp;C8,C8&amp;".shp")&amp;"'"", ""crsjgd2000"": ""QgsCoordinateReferenceSystem('EPSG:"&amp;_xlfn.XLOOKUP(入力!$B$8,座標系[座標系],座標系[JGD2000],"",0)&amp;"')""}, ""OUTPUTS"": "&amp;IF(変換先形式="gpkg","{"""": ""ogr:dbname='"&amp;変換元フォルダUnicode&amp;出力ファイル名Unicode&amp;".gpkg' table=\"""&amp;$C8&amp;"\"" (geom)""}}","{"""": """&amp;変換先フォルダUnicode&amp;C8&amp;"."&amp;変換先形式&amp;"""}}")</f>
        <v>{"PARAMETERS": {"2": "'E:/G\u7a7a\u9593\u60c5\u5831\u30bb\u30f3\u30bf\u30fc/47\u6c96\u7e04\u770c/158\u5bae\u53e4\u516b\u91cd\u5c71\u68ee\u6797\u8a08\u753b\u533a/\u7b2c16\u7cfb/\u4f5c\u696d\u9053.shp'", "crsjgd2000": "QgsCoordinateReferenceSystem('EPSG:2458')"}, "OUTPUTS": {"": "E:/G\u7a7a\u9593\u60c5\u5831\u30bb\u30f3\u30bf\u30fc/47\u6c96\u7e04\u770c/158\u5bae\u53e4\u516b\u91cd\u5c71\u68ee\u6797\u8a08\u753b\u533aTKY2JGD/\u7b2c16\u7cfb/\u4f5c\u696d\u9053.fgb"}}</v>
      </c>
    </row>
    <row r="9" spans="2:4">
      <c r="B9" t="s">
        <v>14</v>
      </c>
      <c r="C9" s="3" t="str">
        <f>"\u"&amp;IF(_xlfn.UNICODE($B9)&lt;4096,LEFT($B9,1),LOWER(DEC2HEX(_xlfn.UNICODE($B9)))
&amp;IF(LEN($B9)&gt;1,IF(_xlfn.UNICODE(MID($B9,2,1))&lt;4096,MID($B9,2,1),"\u"&amp;LOWER(DEC2HEX(_xlfn.UNICODE(MID($B9,2,1))))),)
&amp;IF(LEN($B9)&gt;2,IF(_xlfn.UNICODE(MID($B9,3,1))&lt;4096,MID($B9,3,1),"\u"&amp;LOWER(DEC2HEX(_xlfn.UNICODE(MID($B9,3,1))))),)
&amp;IF(LEN($B9)&gt;3,IF(_xlfn.UNICODE(MID($B9,4,1))&lt;4096,MID($B9,4,1),"\u"&amp;LOWER(DEC2HEX(_xlfn.UNICODE(MID($B9,4,1))))),)
&amp;IF(LEN($B9)&gt;4,IF(_xlfn.UNICODE(MID($B9,5,1))&lt;4096,MID($B9,5,1),"\u"&amp;LOWER(DEC2HEX(_xlfn.UNICODE(MID($B9,5,1))))),)
&amp;IF(LEN($B9)&gt;5,IF(_xlfn.UNICODE(MID($B9,6,1))&lt;4096,MID($B9,6,1),"\u"&amp;LOWER(DEC2HEX(_xlfn.UNICODE(MID($B9,6,1))))),)
&amp;IF(LEN($B9)&gt;6,IF(_xlfn.UNICODE(MID($B9,7,1))&lt;4096,MID($B9,7,1),"\u"&amp;LOWER(DEC2HEX(_xlfn.UNICODE(MID($B9,7,1))))),)
&amp;IF(LEN($B9)&gt;7,IF(_xlfn.UNICODE(MID($B9,8,1))&lt;4096,MID($B9,8,1),"\u"&amp;LOWER(DEC2HEX(_xlfn.UNICODE(MID($B9,8,1))))),)
&amp;IF(LEN($B9)&gt;8,IF(_xlfn.UNICODE(MID($B9,9,1))&lt;4096,MID($B9,9,1),"\u"&amp;LOWER(DEC2HEX(_xlfn.UNICODE(MID($B9,9,1))))),)
&amp;IF(LEN($B9)&gt;9,IF(_xlfn.UNICODE(MID($B9,10,1))&lt;4096,MID($B9,10,1),"\u"&amp;LOWER(DEC2HEX(_xlfn.UNICODE(MID($B9,10,1))))),))</f>
        <v>\u7b49\u9ad8\u7dda10m\u9593\u9694</v>
      </c>
      <c r="D9" s="1" t="str">
        <f>"{""PARAMETERS"": {""2"": ""'"&amp;変換元フォルダUnicode&amp;IF(変換元形式="gpkg",変換元ファイル名Unicode&amp;".gpkg|layername="&amp;C9,C9&amp;".shp")&amp;"'"", ""crsjgd2000"": ""QgsCoordinateReferenceSystem('EPSG:"&amp;_xlfn.XLOOKUP(入力!$B$8,座標系[座標系],座標系[JGD2000],"",0)&amp;"')""}, ""OUTPUTS"": "&amp;IF(変換先形式="gpkg","{"""": ""ogr:dbname='"&amp;変換元フォルダUnicode&amp;出力ファイル名Unicode&amp;".gpkg' table=\"""&amp;$C9&amp;"\"" (geom)""}}","{"""": """&amp;変換先フォルダUnicode&amp;C9&amp;"."&amp;変換先形式&amp;"""}}")</f>
        <v>{"PARAMETERS": {"2": "'E:/G\u7a7a\u9593\u60c5\u5831\u30bb\u30f3\u30bf\u30fc/47\u6c96\u7e04\u770c/158\u5bae\u53e4\u516b\u91cd\u5c71\u68ee\u6797\u8a08\u753b\u533a/\u7b2c16\u7cfb/\u7b49\u9ad8\u7dda10m\u9593\u9694.shp'", "crsjgd2000": "QgsCoordinateReferenceSystem('EPSG:2458')"}, "OUTPUTS": {"": "E:/G\u7a7a\u9593\u60c5\u5831\u30bb\u30f3\u30bf\u30fc/47\u6c96\u7e04\u770c/158\u5bae\u53e4\u516b\u91cd\u5c71\u68ee\u6797\u8a08\u753b\u533aTKY2JGD/\u7b2c16\u7cfb/\u7b49\u9ad8\u7dda10m\u9593\u9694.fgb"}}</v>
      </c>
    </row>
    <row r="10" spans="2:4">
      <c r="B10" t="s">
        <v>15</v>
      </c>
      <c r="C10" s="3" t="str">
        <f t="shared" ref="C10" si="1">"\u"&amp;IF(_xlfn.UNICODE($B10)&lt;4096,LEFT($B10,1),LOWER(DEC2HEX(_xlfn.UNICODE($B10)))
&amp;IF(LEN($B10)&gt;1,IF(_xlfn.UNICODE(MID($B10,2,1))&lt;4096,MID($B10,2,1),"\u"&amp;LOWER(DEC2HEX(_xlfn.UNICODE(MID($B10,2,1))))),)
&amp;IF(LEN($B10)&gt;2,IF(_xlfn.UNICODE(MID($B10,3,1))&lt;4096,MID($B10,3,1),"\u"&amp;LOWER(DEC2HEX(_xlfn.UNICODE(MID($B10,3,1))))),)
&amp;IF(LEN($B10)&gt;3,IF(_xlfn.UNICODE(MID($B10,4,1))&lt;4096,MID($B10,4,1),"\u"&amp;LOWER(DEC2HEX(_xlfn.UNICODE(MID($B10,4,1))))),)
&amp;IF(LEN($B10)&gt;4,IF(_xlfn.UNICODE(MID($B10,5,1))&lt;4096,MID($B10,5,1),"\u"&amp;LOWER(DEC2HEX(_xlfn.UNICODE(MID($B10,5,1))))),)
&amp;IF(LEN($B10)&gt;5,IF(_xlfn.UNICODE(MID($B10,6,1))&lt;4096,MID($B10,6,1),"\u"&amp;LOWER(DEC2HEX(_xlfn.UNICODE(MID($B10,6,1))))),)
&amp;IF(LEN($B10)&gt;6,IF(_xlfn.UNICODE(MID($B10,7,1))&lt;4096,MID($B10,7,1),"\u"&amp;LOWER(DEC2HEX(_xlfn.UNICODE(MID($B10,7,1))))),)
&amp;IF(LEN($B10)&gt;7,IF(_xlfn.UNICODE(MID($B10,8,1))&lt;4096,MID($B10,8,1),"\u"&amp;LOWER(DEC2HEX(_xlfn.UNICODE(MID($B10,8,1))))),)
&amp;IF(LEN($B10)&gt;8,IF(_xlfn.UNICODE(MID($B10,9,1))&lt;4096,MID($B10,9,1),"\u"&amp;LOWER(DEC2HEX(_xlfn.UNICODE(MID($B10,9,1))))),)
&amp;IF(LEN($B10)&gt;9,IF(_xlfn.UNICODE(MID($B10,10,1))&lt;4096,MID($B10,10,1),"\u"&amp;LOWER(DEC2HEX(_xlfn.UNICODE(MID($B10,10,1))))),))</f>
        <v>\u7b49\u9ad8\u7dda50m\u9593\u9694</v>
      </c>
      <c r="D10" s="1"/>
    </row>
  </sheetData>
  <phoneticPr fontId="1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BA0E85-42A6-44F3-B76E-A8F0045975F8}">
  <sheetPr codeName="Sheet8"/>
  <dimension ref="A1:C1297"/>
  <sheetViews>
    <sheetView topLeftCell="A1279" workbookViewId="0">
      <selection activeCell="C1287" sqref="C1287"/>
    </sheetView>
  </sheetViews>
  <sheetFormatPr defaultRowHeight="18"/>
  <cols>
    <col min="1" max="1" width="60" customWidth="1"/>
    <col min="2" max="2" width="14.3984375" customWidth="1"/>
    <col min="3" max="3" width="108" customWidth="1"/>
  </cols>
  <sheetData>
    <row r="1" spans="1:3">
      <c r="A1" t="s">
        <v>542</v>
      </c>
      <c r="B1" t="s">
        <v>30</v>
      </c>
      <c r="C1" t="s">
        <v>363</v>
      </c>
    </row>
    <row r="2" spans="1:3">
      <c r="A2" t="s">
        <v>380</v>
      </c>
      <c r="B2" t="s">
        <v>549</v>
      </c>
      <c r="C2" t="s">
        <v>550</v>
      </c>
    </row>
    <row r="3" spans="1:3">
      <c r="A3" t="s">
        <v>380</v>
      </c>
      <c r="B3" t="s">
        <v>551</v>
      </c>
      <c r="C3" t="s">
        <v>552</v>
      </c>
    </row>
    <row r="4" spans="1:3">
      <c r="A4" t="s">
        <v>380</v>
      </c>
      <c r="B4" t="s">
        <v>553</v>
      </c>
      <c r="C4" t="s">
        <v>554</v>
      </c>
    </row>
    <row r="5" spans="1:3">
      <c r="A5" t="s">
        <v>380</v>
      </c>
      <c r="B5" t="s">
        <v>555</v>
      </c>
      <c r="C5" t="s">
        <v>556</v>
      </c>
    </row>
    <row r="6" spans="1:3">
      <c r="A6" t="s">
        <v>380</v>
      </c>
      <c r="B6" t="s">
        <v>557</v>
      </c>
      <c r="C6" t="s">
        <v>558</v>
      </c>
    </row>
    <row r="7" spans="1:3">
      <c r="A7" t="s">
        <v>380</v>
      </c>
      <c r="B7" t="s">
        <v>559</v>
      </c>
      <c r="C7" t="s">
        <v>560</v>
      </c>
    </row>
    <row r="8" spans="1:3">
      <c r="A8" t="s">
        <v>380</v>
      </c>
      <c r="B8" t="s">
        <v>561</v>
      </c>
      <c r="C8" t="s">
        <v>562</v>
      </c>
    </row>
    <row r="9" spans="1:3">
      <c r="A9" t="s">
        <v>380</v>
      </c>
      <c r="B9" t="s">
        <v>563</v>
      </c>
      <c r="C9" t="s">
        <v>564</v>
      </c>
    </row>
    <row r="10" spans="1:3">
      <c r="A10" t="s">
        <v>381</v>
      </c>
      <c r="B10" t="s">
        <v>549</v>
      </c>
      <c r="C10" t="s">
        <v>565</v>
      </c>
    </row>
    <row r="11" spans="1:3">
      <c r="A11" t="s">
        <v>381</v>
      </c>
      <c r="B11" t="s">
        <v>551</v>
      </c>
      <c r="C11" t="s">
        <v>566</v>
      </c>
    </row>
    <row r="12" spans="1:3">
      <c r="A12" t="s">
        <v>381</v>
      </c>
      <c r="B12" t="s">
        <v>553</v>
      </c>
      <c r="C12" t="s">
        <v>567</v>
      </c>
    </row>
    <row r="13" spans="1:3">
      <c r="A13" t="s">
        <v>381</v>
      </c>
      <c r="B13" t="s">
        <v>555</v>
      </c>
      <c r="C13" t="s">
        <v>568</v>
      </c>
    </row>
    <row r="14" spans="1:3">
      <c r="A14" t="s">
        <v>381</v>
      </c>
      <c r="B14" t="s">
        <v>557</v>
      </c>
      <c r="C14" t="s">
        <v>569</v>
      </c>
    </row>
    <row r="15" spans="1:3">
      <c r="A15" t="s">
        <v>381</v>
      </c>
      <c r="B15" t="s">
        <v>559</v>
      </c>
      <c r="C15" t="s">
        <v>570</v>
      </c>
    </row>
    <row r="16" spans="1:3">
      <c r="A16" t="s">
        <v>381</v>
      </c>
      <c r="B16" t="s">
        <v>561</v>
      </c>
      <c r="C16" t="s">
        <v>571</v>
      </c>
    </row>
    <row r="17" spans="1:3">
      <c r="A17" t="s">
        <v>381</v>
      </c>
      <c r="B17" t="s">
        <v>563</v>
      </c>
      <c r="C17" t="s">
        <v>572</v>
      </c>
    </row>
    <row r="18" spans="1:3">
      <c r="A18" t="s">
        <v>382</v>
      </c>
      <c r="B18" t="s">
        <v>549</v>
      </c>
      <c r="C18" t="s">
        <v>581</v>
      </c>
    </row>
    <row r="19" spans="1:3">
      <c r="A19" t="s">
        <v>382</v>
      </c>
      <c r="B19" t="s">
        <v>551</v>
      </c>
      <c r="C19" t="s">
        <v>582</v>
      </c>
    </row>
    <row r="20" spans="1:3">
      <c r="A20" t="s">
        <v>382</v>
      </c>
      <c r="B20" t="s">
        <v>553</v>
      </c>
      <c r="C20" t="s">
        <v>583</v>
      </c>
    </row>
    <row r="21" spans="1:3">
      <c r="A21" t="s">
        <v>382</v>
      </c>
      <c r="B21" t="s">
        <v>555</v>
      </c>
      <c r="C21" t="s">
        <v>584</v>
      </c>
    </row>
    <row r="22" spans="1:3">
      <c r="A22" t="s">
        <v>382</v>
      </c>
      <c r="B22" t="s">
        <v>557</v>
      </c>
      <c r="C22" t="s">
        <v>585</v>
      </c>
    </row>
    <row r="23" spans="1:3">
      <c r="A23" t="s">
        <v>382</v>
      </c>
      <c r="B23" t="s">
        <v>559</v>
      </c>
      <c r="C23" t="s">
        <v>586</v>
      </c>
    </row>
    <row r="24" spans="1:3">
      <c r="A24" t="s">
        <v>382</v>
      </c>
      <c r="B24" t="s">
        <v>561</v>
      </c>
      <c r="C24" t="s">
        <v>587</v>
      </c>
    </row>
    <row r="25" spans="1:3">
      <c r="A25" t="s">
        <v>382</v>
      </c>
      <c r="B25" t="s">
        <v>563</v>
      </c>
      <c r="C25" t="s">
        <v>588</v>
      </c>
    </row>
    <row r="26" spans="1:3">
      <c r="A26" t="s">
        <v>383</v>
      </c>
      <c r="B26" t="s">
        <v>549</v>
      </c>
      <c r="C26" t="s">
        <v>589</v>
      </c>
    </row>
    <row r="27" spans="1:3">
      <c r="A27" t="s">
        <v>383</v>
      </c>
      <c r="B27" t="s">
        <v>551</v>
      </c>
      <c r="C27" t="s">
        <v>590</v>
      </c>
    </row>
    <row r="28" spans="1:3">
      <c r="A28" t="s">
        <v>383</v>
      </c>
      <c r="B28" t="s">
        <v>553</v>
      </c>
      <c r="C28" t="s">
        <v>591</v>
      </c>
    </row>
    <row r="29" spans="1:3">
      <c r="A29" t="s">
        <v>383</v>
      </c>
      <c r="B29" t="s">
        <v>555</v>
      </c>
      <c r="C29" t="s">
        <v>592</v>
      </c>
    </row>
    <row r="30" spans="1:3">
      <c r="A30" t="s">
        <v>383</v>
      </c>
      <c r="B30" t="s">
        <v>557</v>
      </c>
      <c r="C30" t="s">
        <v>593</v>
      </c>
    </row>
    <row r="31" spans="1:3">
      <c r="A31" t="s">
        <v>383</v>
      </c>
      <c r="B31" t="s">
        <v>559</v>
      </c>
      <c r="C31" t="s">
        <v>594</v>
      </c>
    </row>
    <row r="32" spans="1:3">
      <c r="A32" t="s">
        <v>383</v>
      </c>
      <c r="B32" t="s">
        <v>561</v>
      </c>
      <c r="C32" t="s">
        <v>595</v>
      </c>
    </row>
    <row r="33" spans="1:3">
      <c r="A33" t="s">
        <v>383</v>
      </c>
      <c r="B33" t="s">
        <v>563</v>
      </c>
      <c r="C33" t="s">
        <v>596</v>
      </c>
    </row>
    <row r="34" spans="1:3">
      <c r="A34" t="s">
        <v>384</v>
      </c>
      <c r="B34" t="s">
        <v>549</v>
      </c>
      <c r="C34" t="s">
        <v>597</v>
      </c>
    </row>
    <row r="35" spans="1:3">
      <c r="A35" t="s">
        <v>384</v>
      </c>
      <c r="B35" t="s">
        <v>551</v>
      </c>
      <c r="C35" t="s">
        <v>598</v>
      </c>
    </row>
    <row r="36" spans="1:3">
      <c r="A36" t="s">
        <v>384</v>
      </c>
      <c r="B36" t="s">
        <v>553</v>
      </c>
      <c r="C36" t="s">
        <v>599</v>
      </c>
    </row>
    <row r="37" spans="1:3">
      <c r="A37" t="s">
        <v>384</v>
      </c>
      <c r="B37" t="s">
        <v>555</v>
      </c>
      <c r="C37" t="s">
        <v>600</v>
      </c>
    </row>
    <row r="38" spans="1:3">
      <c r="A38" t="s">
        <v>384</v>
      </c>
      <c r="B38" t="s">
        <v>557</v>
      </c>
      <c r="C38" t="s">
        <v>601</v>
      </c>
    </row>
    <row r="39" spans="1:3">
      <c r="A39" t="s">
        <v>384</v>
      </c>
      <c r="B39" t="s">
        <v>559</v>
      </c>
      <c r="C39" t="s">
        <v>602</v>
      </c>
    </row>
    <row r="40" spans="1:3">
      <c r="A40" t="s">
        <v>384</v>
      </c>
      <c r="B40" t="s">
        <v>561</v>
      </c>
      <c r="C40" t="s">
        <v>603</v>
      </c>
    </row>
    <row r="41" spans="1:3">
      <c r="A41" t="s">
        <v>384</v>
      </c>
      <c r="B41" t="s">
        <v>563</v>
      </c>
      <c r="C41" t="s">
        <v>604</v>
      </c>
    </row>
    <row r="42" spans="1:3">
      <c r="A42" t="s">
        <v>385</v>
      </c>
      <c r="B42" t="s">
        <v>549</v>
      </c>
      <c r="C42" t="s">
        <v>573</v>
      </c>
    </row>
    <row r="43" spans="1:3">
      <c r="A43" t="s">
        <v>385</v>
      </c>
      <c r="B43" t="s">
        <v>551</v>
      </c>
      <c r="C43" t="s">
        <v>574</v>
      </c>
    </row>
    <row r="44" spans="1:3">
      <c r="A44" t="s">
        <v>385</v>
      </c>
      <c r="B44" t="s">
        <v>553</v>
      </c>
      <c r="C44" t="s">
        <v>575</v>
      </c>
    </row>
    <row r="45" spans="1:3">
      <c r="A45" t="s">
        <v>385</v>
      </c>
      <c r="B45" t="s">
        <v>555</v>
      </c>
      <c r="C45" t="s">
        <v>576</v>
      </c>
    </row>
    <row r="46" spans="1:3">
      <c r="A46" t="s">
        <v>385</v>
      </c>
      <c r="B46" t="s">
        <v>557</v>
      </c>
      <c r="C46" t="s">
        <v>577</v>
      </c>
    </row>
    <row r="47" spans="1:3">
      <c r="A47" t="s">
        <v>385</v>
      </c>
      <c r="B47" t="s">
        <v>559</v>
      </c>
      <c r="C47" t="s">
        <v>578</v>
      </c>
    </row>
    <row r="48" spans="1:3">
      <c r="A48" t="s">
        <v>385</v>
      </c>
      <c r="B48" t="s">
        <v>561</v>
      </c>
      <c r="C48" t="s">
        <v>579</v>
      </c>
    </row>
    <row r="49" spans="1:3">
      <c r="A49" t="s">
        <v>385</v>
      </c>
      <c r="B49" t="s">
        <v>563</v>
      </c>
      <c r="C49" t="s">
        <v>580</v>
      </c>
    </row>
    <row r="50" spans="1:3">
      <c r="A50" t="s">
        <v>386</v>
      </c>
      <c r="B50" t="s">
        <v>549</v>
      </c>
      <c r="C50" t="s">
        <v>605</v>
      </c>
    </row>
    <row r="51" spans="1:3">
      <c r="A51" t="s">
        <v>386</v>
      </c>
      <c r="B51" t="s">
        <v>551</v>
      </c>
      <c r="C51" t="s">
        <v>606</v>
      </c>
    </row>
    <row r="52" spans="1:3">
      <c r="A52" t="s">
        <v>386</v>
      </c>
      <c r="B52" t="s">
        <v>553</v>
      </c>
      <c r="C52" t="s">
        <v>607</v>
      </c>
    </row>
    <row r="53" spans="1:3">
      <c r="A53" t="s">
        <v>386</v>
      </c>
      <c r="B53" t="s">
        <v>555</v>
      </c>
      <c r="C53" t="s">
        <v>608</v>
      </c>
    </row>
    <row r="54" spans="1:3">
      <c r="A54" t="s">
        <v>386</v>
      </c>
      <c r="B54" t="s">
        <v>557</v>
      </c>
      <c r="C54" t="s">
        <v>609</v>
      </c>
    </row>
    <row r="55" spans="1:3">
      <c r="A55" t="s">
        <v>386</v>
      </c>
      <c r="B55" t="s">
        <v>559</v>
      </c>
      <c r="C55" t="s">
        <v>610</v>
      </c>
    </row>
    <row r="56" spans="1:3">
      <c r="A56" t="s">
        <v>386</v>
      </c>
      <c r="B56" t="s">
        <v>561</v>
      </c>
      <c r="C56" t="s">
        <v>611</v>
      </c>
    </row>
    <row r="57" spans="1:3">
      <c r="A57" t="s">
        <v>386</v>
      </c>
      <c r="B57" t="s">
        <v>563</v>
      </c>
      <c r="C57" t="s">
        <v>612</v>
      </c>
    </row>
    <row r="58" spans="1:3">
      <c r="A58" t="s">
        <v>387</v>
      </c>
      <c r="B58" t="s">
        <v>549</v>
      </c>
      <c r="C58" t="s">
        <v>613</v>
      </c>
    </row>
    <row r="59" spans="1:3">
      <c r="A59" t="s">
        <v>387</v>
      </c>
      <c r="B59" t="s">
        <v>551</v>
      </c>
      <c r="C59" t="s">
        <v>614</v>
      </c>
    </row>
    <row r="60" spans="1:3">
      <c r="A60" t="s">
        <v>387</v>
      </c>
      <c r="B60" t="s">
        <v>553</v>
      </c>
      <c r="C60" t="s">
        <v>615</v>
      </c>
    </row>
    <row r="61" spans="1:3">
      <c r="A61" t="s">
        <v>387</v>
      </c>
      <c r="B61" t="s">
        <v>555</v>
      </c>
      <c r="C61" t="s">
        <v>616</v>
      </c>
    </row>
    <row r="62" spans="1:3">
      <c r="A62" t="s">
        <v>387</v>
      </c>
      <c r="B62" t="s">
        <v>557</v>
      </c>
      <c r="C62" t="s">
        <v>617</v>
      </c>
    </row>
    <row r="63" spans="1:3">
      <c r="A63" t="s">
        <v>387</v>
      </c>
      <c r="B63" t="s">
        <v>559</v>
      </c>
      <c r="C63" t="s">
        <v>618</v>
      </c>
    </row>
    <row r="64" spans="1:3">
      <c r="A64" t="s">
        <v>387</v>
      </c>
      <c r="B64" t="s">
        <v>561</v>
      </c>
      <c r="C64" t="s">
        <v>619</v>
      </c>
    </row>
    <row r="65" spans="1:3">
      <c r="A65" t="s">
        <v>387</v>
      </c>
      <c r="B65" t="s">
        <v>563</v>
      </c>
      <c r="C65" t="s">
        <v>620</v>
      </c>
    </row>
    <row r="66" spans="1:3">
      <c r="A66" t="s">
        <v>388</v>
      </c>
      <c r="B66" t="s">
        <v>549</v>
      </c>
      <c r="C66" t="s">
        <v>621</v>
      </c>
    </row>
    <row r="67" spans="1:3">
      <c r="A67" t="s">
        <v>388</v>
      </c>
      <c r="B67" t="s">
        <v>551</v>
      </c>
      <c r="C67" t="s">
        <v>622</v>
      </c>
    </row>
    <row r="68" spans="1:3">
      <c r="A68" t="s">
        <v>388</v>
      </c>
      <c r="B68" t="s">
        <v>553</v>
      </c>
      <c r="C68" t="s">
        <v>623</v>
      </c>
    </row>
    <row r="69" spans="1:3">
      <c r="A69" t="s">
        <v>388</v>
      </c>
      <c r="B69" t="s">
        <v>555</v>
      </c>
      <c r="C69" t="s">
        <v>624</v>
      </c>
    </row>
    <row r="70" spans="1:3">
      <c r="A70" t="s">
        <v>388</v>
      </c>
      <c r="B70" t="s">
        <v>557</v>
      </c>
      <c r="C70" t="s">
        <v>625</v>
      </c>
    </row>
    <row r="71" spans="1:3">
      <c r="A71" t="s">
        <v>388</v>
      </c>
      <c r="B71" t="s">
        <v>559</v>
      </c>
      <c r="C71" t="s">
        <v>626</v>
      </c>
    </row>
    <row r="72" spans="1:3">
      <c r="A72" t="s">
        <v>388</v>
      </c>
      <c r="B72" t="s">
        <v>561</v>
      </c>
      <c r="C72" t="s">
        <v>627</v>
      </c>
    </row>
    <row r="73" spans="1:3">
      <c r="A73" t="s">
        <v>388</v>
      </c>
      <c r="B73" t="s">
        <v>563</v>
      </c>
      <c r="C73" t="s">
        <v>628</v>
      </c>
    </row>
    <row r="74" spans="1:3">
      <c r="A74" t="s">
        <v>389</v>
      </c>
      <c r="B74" t="s">
        <v>549</v>
      </c>
      <c r="C74" t="s">
        <v>629</v>
      </c>
    </row>
    <row r="75" spans="1:3">
      <c r="A75" t="s">
        <v>389</v>
      </c>
      <c r="B75" t="s">
        <v>551</v>
      </c>
      <c r="C75" t="s">
        <v>630</v>
      </c>
    </row>
    <row r="76" spans="1:3">
      <c r="A76" t="s">
        <v>389</v>
      </c>
      <c r="B76" t="s">
        <v>553</v>
      </c>
      <c r="C76" t="s">
        <v>631</v>
      </c>
    </row>
    <row r="77" spans="1:3">
      <c r="A77" t="s">
        <v>389</v>
      </c>
      <c r="B77" t="s">
        <v>555</v>
      </c>
      <c r="C77" t="s">
        <v>632</v>
      </c>
    </row>
    <row r="78" spans="1:3">
      <c r="A78" t="s">
        <v>389</v>
      </c>
      <c r="B78" t="s">
        <v>557</v>
      </c>
      <c r="C78" t="s">
        <v>633</v>
      </c>
    </row>
    <row r="79" spans="1:3">
      <c r="A79" t="s">
        <v>389</v>
      </c>
      <c r="B79" t="s">
        <v>559</v>
      </c>
      <c r="C79" t="s">
        <v>634</v>
      </c>
    </row>
    <row r="80" spans="1:3">
      <c r="A80" t="s">
        <v>389</v>
      </c>
      <c r="B80" t="s">
        <v>561</v>
      </c>
      <c r="C80" t="s">
        <v>635</v>
      </c>
    </row>
    <row r="81" spans="1:3">
      <c r="A81" t="s">
        <v>389</v>
      </c>
      <c r="B81" t="s">
        <v>563</v>
      </c>
      <c r="C81" t="s">
        <v>636</v>
      </c>
    </row>
    <row r="82" spans="1:3">
      <c r="A82" t="s">
        <v>390</v>
      </c>
      <c r="B82" t="s">
        <v>549</v>
      </c>
      <c r="C82" t="s">
        <v>637</v>
      </c>
    </row>
    <row r="83" spans="1:3">
      <c r="A83" t="s">
        <v>390</v>
      </c>
      <c r="B83" t="s">
        <v>551</v>
      </c>
      <c r="C83" t="s">
        <v>638</v>
      </c>
    </row>
    <row r="84" spans="1:3">
      <c r="A84" t="s">
        <v>390</v>
      </c>
      <c r="B84" t="s">
        <v>553</v>
      </c>
      <c r="C84" t="s">
        <v>639</v>
      </c>
    </row>
    <row r="85" spans="1:3">
      <c r="A85" t="s">
        <v>390</v>
      </c>
      <c r="B85" t="s">
        <v>555</v>
      </c>
      <c r="C85" t="s">
        <v>640</v>
      </c>
    </row>
    <row r="86" spans="1:3">
      <c r="A86" t="s">
        <v>390</v>
      </c>
      <c r="B86" t="s">
        <v>557</v>
      </c>
      <c r="C86" t="s">
        <v>641</v>
      </c>
    </row>
    <row r="87" spans="1:3">
      <c r="A87" t="s">
        <v>390</v>
      </c>
      <c r="B87" t="s">
        <v>559</v>
      </c>
      <c r="C87" t="s">
        <v>642</v>
      </c>
    </row>
    <row r="88" spans="1:3">
      <c r="A88" t="s">
        <v>390</v>
      </c>
      <c r="B88" t="s">
        <v>561</v>
      </c>
      <c r="C88" t="s">
        <v>643</v>
      </c>
    </row>
    <row r="89" spans="1:3">
      <c r="A89" t="s">
        <v>390</v>
      </c>
      <c r="B89" t="s">
        <v>563</v>
      </c>
      <c r="C89" t="s">
        <v>644</v>
      </c>
    </row>
    <row r="90" spans="1:3">
      <c r="A90" t="s">
        <v>391</v>
      </c>
      <c r="B90" t="s">
        <v>549</v>
      </c>
      <c r="C90" t="s">
        <v>645</v>
      </c>
    </row>
    <row r="91" spans="1:3">
      <c r="A91" t="s">
        <v>391</v>
      </c>
      <c r="B91" t="s">
        <v>551</v>
      </c>
      <c r="C91" t="s">
        <v>646</v>
      </c>
    </row>
    <row r="92" spans="1:3">
      <c r="A92" t="s">
        <v>391</v>
      </c>
      <c r="B92" t="s">
        <v>553</v>
      </c>
      <c r="C92" t="s">
        <v>647</v>
      </c>
    </row>
    <row r="93" spans="1:3">
      <c r="A93" t="s">
        <v>391</v>
      </c>
      <c r="B93" t="s">
        <v>555</v>
      </c>
      <c r="C93" t="s">
        <v>648</v>
      </c>
    </row>
    <row r="94" spans="1:3">
      <c r="A94" t="s">
        <v>391</v>
      </c>
      <c r="B94" t="s">
        <v>557</v>
      </c>
      <c r="C94" t="s">
        <v>649</v>
      </c>
    </row>
    <row r="95" spans="1:3">
      <c r="A95" t="s">
        <v>391</v>
      </c>
      <c r="B95" t="s">
        <v>559</v>
      </c>
      <c r="C95" t="s">
        <v>650</v>
      </c>
    </row>
    <row r="96" spans="1:3">
      <c r="A96" t="s">
        <v>391</v>
      </c>
      <c r="B96" t="s">
        <v>561</v>
      </c>
      <c r="C96" t="s">
        <v>651</v>
      </c>
    </row>
    <row r="97" spans="1:3">
      <c r="A97" t="s">
        <v>391</v>
      </c>
      <c r="B97" t="s">
        <v>563</v>
      </c>
      <c r="C97" t="s">
        <v>652</v>
      </c>
    </row>
    <row r="98" spans="1:3">
      <c r="A98" t="s">
        <v>392</v>
      </c>
      <c r="B98" t="s">
        <v>549</v>
      </c>
      <c r="C98" t="s">
        <v>653</v>
      </c>
    </row>
    <row r="99" spans="1:3">
      <c r="A99" t="s">
        <v>392</v>
      </c>
      <c r="B99" t="s">
        <v>551</v>
      </c>
      <c r="C99" t="s">
        <v>654</v>
      </c>
    </row>
    <row r="100" spans="1:3">
      <c r="A100" t="s">
        <v>392</v>
      </c>
      <c r="B100" t="s">
        <v>553</v>
      </c>
      <c r="C100" t="s">
        <v>655</v>
      </c>
    </row>
    <row r="101" spans="1:3">
      <c r="A101" t="s">
        <v>392</v>
      </c>
      <c r="B101" t="s">
        <v>555</v>
      </c>
      <c r="C101" t="s">
        <v>656</v>
      </c>
    </row>
    <row r="102" spans="1:3">
      <c r="A102" t="s">
        <v>392</v>
      </c>
      <c r="B102" t="s">
        <v>557</v>
      </c>
      <c r="C102" t="s">
        <v>657</v>
      </c>
    </row>
    <row r="103" spans="1:3">
      <c r="A103" t="s">
        <v>392</v>
      </c>
      <c r="B103" t="s">
        <v>559</v>
      </c>
      <c r="C103" t="s">
        <v>658</v>
      </c>
    </row>
    <row r="104" spans="1:3">
      <c r="A104" t="s">
        <v>392</v>
      </c>
      <c r="B104" t="s">
        <v>561</v>
      </c>
      <c r="C104" t="s">
        <v>659</v>
      </c>
    </row>
    <row r="105" spans="1:3">
      <c r="A105" t="s">
        <v>392</v>
      </c>
      <c r="B105" t="s">
        <v>563</v>
      </c>
      <c r="C105" t="s">
        <v>660</v>
      </c>
    </row>
    <row r="106" spans="1:3">
      <c r="A106" t="s">
        <v>393</v>
      </c>
      <c r="B106" t="s">
        <v>549</v>
      </c>
      <c r="C106" t="s">
        <v>661</v>
      </c>
    </row>
    <row r="107" spans="1:3">
      <c r="A107" t="s">
        <v>393</v>
      </c>
      <c r="B107" t="s">
        <v>551</v>
      </c>
      <c r="C107" t="s">
        <v>662</v>
      </c>
    </row>
    <row r="108" spans="1:3">
      <c r="A108" t="s">
        <v>393</v>
      </c>
      <c r="B108" t="s">
        <v>553</v>
      </c>
      <c r="C108" t="s">
        <v>663</v>
      </c>
    </row>
    <row r="109" spans="1:3">
      <c r="A109" t="s">
        <v>393</v>
      </c>
      <c r="B109" t="s">
        <v>555</v>
      </c>
      <c r="C109" t="s">
        <v>664</v>
      </c>
    </row>
    <row r="110" spans="1:3">
      <c r="A110" t="s">
        <v>393</v>
      </c>
      <c r="B110" t="s">
        <v>557</v>
      </c>
      <c r="C110" t="s">
        <v>665</v>
      </c>
    </row>
    <row r="111" spans="1:3">
      <c r="A111" t="s">
        <v>393</v>
      </c>
      <c r="B111" t="s">
        <v>559</v>
      </c>
      <c r="C111" t="s">
        <v>666</v>
      </c>
    </row>
    <row r="112" spans="1:3">
      <c r="A112" t="s">
        <v>393</v>
      </c>
      <c r="B112" t="s">
        <v>561</v>
      </c>
      <c r="C112" t="s">
        <v>667</v>
      </c>
    </row>
    <row r="113" spans="1:3">
      <c r="A113" t="s">
        <v>393</v>
      </c>
      <c r="B113" t="s">
        <v>563</v>
      </c>
      <c r="C113" t="s">
        <v>668</v>
      </c>
    </row>
    <row r="114" spans="1:3">
      <c r="A114" t="s">
        <v>394</v>
      </c>
      <c r="B114" t="s">
        <v>549</v>
      </c>
      <c r="C114" t="s">
        <v>669</v>
      </c>
    </row>
    <row r="115" spans="1:3">
      <c r="A115" t="s">
        <v>394</v>
      </c>
      <c r="B115" t="s">
        <v>551</v>
      </c>
      <c r="C115" t="s">
        <v>670</v>
      </c>
    </row>
    <row r="116" spans="1:3">
      <c r="A116" t="s">
        <v>394</v>
      </c>
      <c r="B116" t="s">
        <v>553</v>
      </c>
      <c r="C116" t="s">
        <v>671</v>
      </c>
    </row>
    <row r="117" spans="1:3">
      <c r="A117" t="s">
        <v>394</v>
      </c>
      <c r="B117" t="s">
        <v>555</v>
      </c>
      <c r="C117" t="s">
        <v>672</v>
      </c>
    </row>
    <row r="118" spans="1:3">
      <c r="A118" t="s">
        <v>394</v>
      </c>
      <c r="B118" t="s">
        <v>557</v>
      </c>
      <c r="C118" t="s">
        <v>673</v>
      </c>
    </row>
    <row r="119" spans="1:3">
      <c r="A119" t="s">
        <v>394</v>
      </c>
      <c r="B119" t="s">
        <v>559</v>
      </c>
      <c r="C119" t="s">
        <v>674</v>
      </c>
    </row>
    <row r="120" spans="1:3">
      <c r="A120" t="s">
        <v>394</v>
      </c>
      <c r="B120" t="s">
        <v>561</v>
      </c>
      <c r="C120" t="s">
        <v>675</v>
      </c>
    </row>
    <row r="121" spans="1:3">
      <c r="A121" t="s">
        <v>394</v>
      </c>
      <c r="B121" t="s">
        <v>563</v>
      </c>
      <c r="C121" t="s">
        <v>676</v>
      </c>
    </row>
    <row r="122" spans="1:3">
      <c r="A122" t="s">
        <v>395</v>
      </c>
      <c r="B122" t="s">
        <v>549</v>
      </c>
      <c r="C122" t="s">
        <v>677</v>
      </c>
    </row>
    <row r="123" spans="1:3">
      <c r="A123" t="s">
        <v>395</v>
      </c>
      <c r="B123" t="s">
        <v>551</v>
      </c>
      <c r="C123" t="s">
        <v>678</v>
      </c>
    </row>
    <row r="124" spans="1:3">
      <c r="A124" t="s">
        <v>395</v>
      </c>
      <c r="B124" t="s">
        <v>553</v>
      </c>
      <c r="C124" t="s">
        <v>679</v>
      </c>
    </row>
    <row r="125" spans="1:3">
      <c r="A125" t="s">
        <v>395</v>
      </c>
      <c r="B125" t="s">
        <v>555</v>
      </c>
      <c r="C125" t="s">
        <v>680</v>
      </c>
    </row>
    <row r="126" spans="1:3">
      <c r="A126" t="s">
        <v>395</v>
      </c>
      <c r="B126" t="s">
        <v>557</v>
      </c>
      <c r="C126" t="s">
        <v>681</v>
      </c>
    </row>
    <row r="127" spans="1:3">
      <c r="A127" t="s">
        <v>395</v>
      </c>
      <c r="B127" t="s">
        <v>559</v>
      </c>
      <c r="C127" t="s">
        <v>682</v>
      </c>
    </row>
    <row r="128" spans="1:3">
      <c r="A128" t="s">
        <v>395</v>
      </c>
      <c r="B128" t="s">
        <v>561</v>
      </c>
      <c r="C128" t="s">
        <v>683</v>
      </c>
    </row>
    <row r="129" spans="1:3">
      <c r="A129" t="s">
        <v>395</v>
      </c>
      <c r="B129" t="s">
        <v>563</v>
      </c>
      <c r="C129" t="s">
        <v>684</v>
      </c>
    </row>
    <row r="130" spans="1:3">
      <c r="A130" t="s">
        <v>396</v>
      </c>
      <c r="B130" t="s">
        <v>549</v>
      </c>
      <c r="C130" t="s">
        <v>685</v>
      </c>
    </row>
    <row r="131" spans="1:3">
      <c r="A131" t="s">
        <v>396</v>
      </c>
      <c r="B131" t="s">
        <v>551</v>
      </c>
      <c r="C131" t="s">
        <v>686</v>
      </c>
    </row>
    <row r="132" spans="1:3">
      <c r="A132" t="s">
        <v>396</v>
      </c>
      <c r="B132" t="s">
        <v>553</v>
      </c>
      <c r="C132" t="s">
        <v>687</v>
      </c>
    </row>
    <row r="133" spans="1:3">
      <c r="A133" t="s">
        <v>396</v>
      </c>
      <c r="B133" t="s">
        <v>555</v>
      </c>
      <c r="C133" t="s">
        <v>688</v>
      </c>
    </row>
    <row r="134" spans="1:3">
      <c r="A134" t="s">
        <v>396</v>
      </c>
      <c r="B134" t="s">
        <v>557</v>
      </c>
      <c r="C134" t="s">
        <v>689</v>
      </c>
    </row>
    <row r="135" spans="1:3">
      <c r="A135" t="s">
        <v>396</v>
      </c>
      <c r="B135" t="s">
        <v>559</v>
      </c>
      <c r="C135" t="s">
        <v>690</v>
      </c>
    </row>
    <row r="136" spans="1:3">
      <c r="A136" t="s">
        <v>396</v>
      </c>
      <c r="B136" t="s">
        <v>561</v>
      </c>
      <c r="C136" t="s">
        <v>691</v>
      </c>
    </row>
    <row r="137" spans="1:3">
      <c r="A137" t="s">
        <v>396</v>
      </c>
      <c r="B137" t="s">
        <v>563</v>
      </c>
      <c r="C137" t="s">
        <v>692</v>
      </c>
    </row>
    <row r="138" spans="1:3">
      <c r="A138" t="s">
        <v>397</v>
      </c>
      <c r="B138" t="s">
        <v>549</v>
      </c>
      <c r="C138" t="s">
        <v>693</v>
      </c>
    </row>
    <row r="139" spans="1:3">
      <c r="A139" t="s">
        <v>397</v>
      </c>
      <c r="B139" t="s">
        <v>551</v>
      </c>
      <c r="C139" t="s">
        <v>694</v>
      </c>
    </row>
    <row r="140" spans="1:3">
      <c r="A140" t="s">
        <v>397</v>
      </c>
      <c r="B140" t="s">
        <v>553</v>
      </c>
      <c r="C140" t="s">
        <v>695</v>
      </c>
    </row>
    <row r="141" spans="1:3">
      <c r="A141" t="s">
        <v>397</v>
      </c>
      <c r="B141" t="s">
        <v>555</v>
      </c>
      <c r="C141" t="s">
        <v>696</v>
      </c>
    </row>
    <row r="142" spans="1:3">
      <c r="A142" t="s">
        <v>397</v>
      </c>
      <c r="B142" t="s">
        <v>557</v>
      </c>
      <c r="C142" t="s">
        <v>697</v>
      </c>
    </row>
    <row r="143" spans="1:3">
      <c r="A143" t="s">
        <v>397</v>
      </c>
      <c r="B143" t="s">
        <v>559</v>
      </c>
      <c r="C143" t="s">
        <v>698</v>
      </c>
    </row>
    <row r="144" spans="1:3">
      <c r="A144" t="s">
        <v>397</v>
      </c>
      <c r="B144" t="s">
        <v>561</v>
      </c>
      <c r="C144" t="s">
        <v>699</v>
      </c>
    </row>
    <row r="145" spans="1:3">
      <c r="A145" t="s">
        <v>397</v>
      </c>
      <c r="B145" t="s">
        <v>563</v>
      </c>
      <c r="C145" t="s">
        <v>700</v>
      </c>
    </row>
    <row r="146" spans="1:3">
      <c r="A146" t="s">
        <v>398</v>
      </c>
      <c r="B146" t="s">
        <v>549</v>
      </c>
      <c r="C146" t="s">
        <v>701</v>
      </c>
    </row>
    <row r="147" spans="1:3">
      <c r="A147" t="s">
        <v>398</v>
      </c>
      <c r="B147" t="s">
        <v>551</v>
      </c>
      <c r="C147" t="s">
        <v>702</v>
      </c>
    </row>
    <row r="148" spans="1:3">
      <c r="A148" t="s">
        <v>398</v>
      </c>
      <c r="B148" t="s">
        <v>553</v>
      </c>
      <c r="C148" t="s">
        <v>703</v>
      </c>
    </row>
    <row r="149" spans="1:3">
      <c r="A149" t="s">
        <v>398</v>
      </c>
      <c r="B149" t="s">
        <v>555</v>
      </c>
      <c r="C149" t="s">
        <v>704</v>
      </c>
    </row>
    <row r="150" spans="1:3">
      <c r="A150" t="s">
        <v>398</v>
      </c>
      <c r="B150" t="s">
        <v>557</v>
      </c>
      <c r="C150" t="s">
        <v>705</v>
      </c>
    </row>
    <row r="151" spans="1:3">
      <c r="A151" t="s">
        <v>398</v>
      </c>
      <c r="B151" t="s">
        <v>559</v>
      </c>
      <c r="C151" t="s">
        <v>706</v>
      </c>
    </row>
    <row r="152" spans="1:3">
      <c r="A152" t="s">
        <v>398</v>
      </c>
      <c r="B152" t="s">
        <v>561</v>
      </c>
      <c r="C152" t="s">
        <v>707</v>
      </c>
    </row>
    <row r="153" spans="1:3">
      <c r="A153" t="s">
        <v>398</v>
      </c>
      <c r="B153" t="s">
        <v>563</v>
      </c>
      <c r="C153" t="s">
        <v>708</v>
      </c>
    </row>
    <row r="154" spans="1:3">
      <c r="A154" t="s">
        <v>399</v>
      </c>
      <c r="B154" t="s">
        <v>549</v>
      </c>
      <c r="C154" t="s">
        <v>709</v>
      </c>
    </row>
    <row r="155" spans="1:3">
      <c r="A155" t="s">
        <v>399</v>
      </c>
      <c r="B155" t="s">
        <v>551</v>
      </c>
      <c r="C155" t="s">
        <v>710</v>
      </c>
    </row>
    <row r="156" spans="1:3">
      <c r="A156" t="s">
        <v>399</v>
      </c>
      <c r="B156" t="s">
        <v>553</v>
      </c>
      <c r="C156" t="s">
        <v>711</v>
      </c>
    </row>
    <row r="157" spans="1:3">
      <c r="A157" t="s">
        <v>399</v>
      </c>
      <c r="B157" t="s">
        <v>555</v>
      </c>
      <c r="C157" t="s">
        <v>712</v>
      </c>
    </row>
    <row r="158" spans="1:3">
      <c r="A158" t="s">
        <v>399</v>
      </c>
      <c r="B158" t="s">
        <v>557</v>
      </c>
      <c r="C158" t="s">
        <v>713</v>
      </c>
    </row>
    <row r="159" spans="1:3">
      <c r="A159" t="s">
        <v>399</v>
      </c>
      <c r="B159" t="s">
        <v>559</v>
      </c>
      <c r="C159" t="s">
        <v>714</v>
      </c>
    </row>
    <row r="160" spans="1:3">
      <c r="A160" t="s">
        <v>399</v>
      </c>
      <c r="B160" t="s">
        <v>561</v>
      </c>
      <c r="C160" t="s">
        <v>715</v>
      </c>
    </row>
    <row r="161" spans="1:3">
      <c r="A161" t="s">
        <v>399</v>
      </c>
      <c r="B161" t="s">
        <v>563</v>
      </c>
      <c r="C161" t="s">
        <v>716</v>
      </c>
    </row>
    <row r="162" spans="1:3">
      <c r="A162" t="s">
        <v>400</v>
      </c>
      <c r="B162" t="s">
        <v>549</v>
      </c>
      <c r="C162" t="s">
        <v>717</v>
      </c>
    </row>
    <row r="163" spans="1:3">
      <c r="A163" t="s">
        <v>400</v>
      </c>
      <c r="B163" t="s">
        <v>551</v>
      </c>
      <c r="C163" t="s">
        <v>718</v>
      </c>
    </row>
    <row r="164" spans="1:3">
      <c r="A164" t="s">
        <v>400</v>
      </c>
      <c r="B164" t="s">
        <v>553</v>
      </c>
      <c r="C164" t="s">
        <v>719</v>
      </c>
    </row>
    <row r="165" spans="1:3">
      <c r="A165" t="s">
        <v>400</v>
      </c>
      <c r="B165" t="s">
        <v>555</v>
      </c>
      <c r="C165" t="s">
        <v>720</v>
      </c>
    </row>
    <row r="166" spans="1:3">
      <c r="A166" t="s">
        <v>400</v>
      </c>
      <c r="B166" t="s">
        <v>557</v>
      </c>
      <c r="C166" t="s">
        <v>721</v>
      </c>
    </row>
    <row r="167" spans="1:3">
      <c r="A167" t="s">
        <v>400</v>
      </c>
      <c r="B167" t="s">
        <v>559</v>
      </c>
      <c r="C167" t="s">
        <v>722</v>
      </c>
    </row>
    <row r="168" spans="1:3">
      <c r="A168" t="s">
        <v>400</v>
      </c>
      <c r="B168" t="s">
        <v>561</v>
      </c>
      <c r="C168" t="s">
        <v>723</v>
      </c>
    </row>
    <row r="169" spans="1:3">
      <c r="A169" t="s">
        <v>400</v>
      </c>
      <c r="B169" t="s">
        <v>563</v>
      </c>
      <c r="C169" t="s">
        <v>724</v>
      </c>
    </row>
    <row r="170" spans="1:3">
      <c r="A170" t="s">
        <v>401</v>
      </c>
      <c r="B170" t="s">
        <v>549</v>
      </c>
      <c r="C170" t="s">
        <v>725</v>
      </c>
    </row>
    <row r="171" spans="1:3">
      <c r="A171" t="s">
        <v>401</v>
      </c>
      <c r="B171" t="s">
        <v>551</v>
      </c>
      <c r="C171" t="s">
        <v>726</v>
      </c>
    </row>
    <row r="172" spans="1:3">
      <c r="A172" t="s">
        <v>401</v>
      </c>
      <c r="B172" t="s">
        <v>553</v>
      </c>
      <c r="C172" t="s">
        <v>727</v>
      </c>
    </row>
    <row r="173" spans="1:3">
      <c r="A173" t="s">
        <v>401</v>
      </c>
      <c r="B173" t="s">
        <v>555</v>
      </c>
      <c r="C173" t="s">
        <v>728</v>
      </c>
    </row>
    <row r="174" spans="1:3">
      <c r="A174" t="s">
        <v>401</v>
      </c>
      <c r="B174" t="s">
        <v>557</v>
      </c>
      <c r="C174" t="s">
        <v>729</v>
      </c>
    </row>
    <row r="175" spans="1:3">
      <c r="A175" t="s">
        <v>401</v>
      </c>
      <c r="B175" t="s">
        <v>559</v>
      </c>
      <c r="C175" t="s">
        <v>730</v>
      </c>
    </row>
    <row r="176" spans="1:3">
      <c r="A176" t="s">
        <v>401</v>
      </c>
      <c r="B176" t="s">
        <v>561</v>
      </c>
      <c r="C176" t="s">
        <v>731</v>
      </c>
    </row>
    <row r="177" spans="1:3">
      <c r="A177" t="s">
        <v>401</v>
      </c>
      <c r="B177" t="s">
        <v>563</v>
      </c>
      <c r="C177" t="s">
        <v>732</v>
      </c>
    </row>
    <row r="178" spans="1:3">
      <c r="A178" t="s">
        <v>402</v>
      </c>
      <c r="B178" t="s">
        <v>549</v>
      </c>
      <c r="C178" t="s">
        <v>733</v>
      </c>
    </row>
    <row r="179" spans="1:3">
      <c r="A179" t="s">
        <v>402</v>
      </c>
      <c r="B179" t="s">
        <v>551</v>
      </c>
      <c r="C179" t="s">
        <v>734</v>
      </c>
    </row>
    <row r="180" spans="1:3">
      <c r="A180" t="s">
        <v>402</v>
      </c>
      <c r="B180" t="s">
        <v>553</v>
      </c>
      <c r="C180" t="s">
        <v>735</v>
      </c>
    </row>
    <row r="181" spans="1:3">
      <c r="A181" t="s">
        <v>402</v>
      </c>
      <c r="B181" t="s">
        <v>555</v>
      </c>
      <c r="C181" t="s">
        <v>736</v>
      </c>
    </row>
    <row r="182" spans="1:3">
      <c r="A182" t="s">
        <v>402</v>
      </c>
      <c r="B182" t="s">
        <v>557</v>
      </c>
      <c r="C182" t="s">
        <v>737</v>
      </c>
    </row>
    <row r="183" spans="1:3">
      <c r="A183" t="s">
        <v>402</v>
      </c>
      <c r="B183" t="s">
        <v>559</v>
      </c>
      <c r="C183" t="s">
        <v>738</v>
      </c>
    </row>
    <row r="184" spans="1:3">
      <c r="A184" t="s">
        <v>402</v>
      </c>
      <c r="B184" t="s">
        <v>561</v>
      </c>
      <c r="C184" t="s">
        <v>739</v>
      </c>
    </row>
    <row r="185" spans="1:3">
      <c r="A185" t="s">
        <v>402</v>
      </c>
      <c r="B185" t="s">
        <v>563</v>
      </c>
      <c r="C185" t="s">
        <v>740</v>
      </c>
    </row>
    <row r="186" spans="1:3">
      <c r="A186" t="s">
        <v>403</v>
      </c>
      <c r="B186" t="s">
        <v>549</v>
      </c>
      <c r="C186" t="s">
        <v>741</v>
      </c>
    </row>
    <row r="187" spans="1:3">
      <c r="A187" t="s">
        <v>403</v>
      </c>
      <c r="B187" t="s">
        <v>551</v>
      </c>
      <c r="C187" t="s">
        <v>742</v>
      </c>
    </row>
    <row r="188" spans="1:3">
      <c r="A188" t="s">
        <v>403</v>
      </c>
      <c r="B188" t="s">
        <v>553</v>
      </c>
      <c r="C188" t="s">
        <v>743</v>
      </c>
    </row>
    <row r="189" spans="1:3">
      <c r="A189" t="s">
        <v>403</v>
      </c>
      <c r="B189" t="s">
        <v>555</v>
      </c>
      <c r="C189" t="s">
        <v>744</v>
      </c>
    </row>
    <row r="190" spans="1:3">
      <c r="A190" t="s">
        <v>403</v>
      </c>
      <c r="B190" t="s">
        <v>557</v>
      </c>
      <c r="C190" t="s">
        <v>745</v>
      </c>
    </row>
    <row r="191" spans="1:3">
      <c r="A191" t="s">
        <v>403</v>
      </c>
      <c r="B191" t="s">
        <v>559</v>
      </c>
      <c r="C191" t="s">
        <v>746</v>
      </c>
    </row>
    <row r="192" spans="1:3">
      <c r="A192" t="s">
        <v>403</v>
      </c>
      <c r="B192" t="s">
        <v>561</v>
      </c>
      <c r="C192" t="s">
        <v>747</v>
      </c>
    </row>
    <row r="193" spans="1:3">
      <c r="A193" t="s">
        <v>403</v>
      </c>
      <c r="B193" t="s">
        <v>563</v>
      </c>
      <c r="C193" t="s">
        <v>748</v>
      </c>
    </row>
    <row r="194" spans="1:3">
      <c r="A194" t="s">
        <v>404</v>
      </c>
      <c r="B194" t="s">
        <v>549</v>
      </c>
      <c r="C194" t="s">
        <v>749</v>
      </c>
    </row>
    <row r="195" spans="1:3">
      <c r="A195" t="s">
        <v>404</v>
      </c>
      <c r="B195" t="s">
        <v>551</v>
      </c>
      <c r="C195" t="s">
        <v>750</v>
      </c>
    </row>
    <row r="196" spans="1:3">
      <c r="A196" t="s">
        <v>404</v>
      </c>
      <c r="B196" t="s">
        <v>553</v>
      </c>
      <c r="C196" t="s">
        <v>751</v>
      </c>
    </row>
    <row r="197" spans="1:3">
      <c r="A197" t="s">
        <v>404</v>
      </c>
      <c r="B197" t="s">
        <v>555</v>
      </c>
      <c r="C197" t="s">
        <v>752</v>
      </c>
    </row>
    <row r="198" spans="1:3">
      <c r="A198" t="s">
        <v>404</v>
      </c>
      <c r="B198" t="s">
        <v>557</v>
      </c>
      <c r="C198" t="s">
        <v>753</v>
      </c>
    </row>
    <row r="199" spans="1:3">
      <c r="A199" t="s">
        <v>404</v>
      </c>
      <c r="B199" t="s">
        <v>559</v>
      </c>
      <c r="C199" t="s">
        <v>754</v>
      </c>
    </row>
    <row r="200" spans="1:3">
      <c r="A200" t="s">
        <v>404</v>
      </c>
      <c r="B200" t="s">
        <v>561</v>
      </c>
      <c r="C200" t="s">
        <v>755</v>
      </c>
    </row>
    <row r="201" spans="1:3">
      <c r="A201" t="s">
        <v>404</v>
      </c>
      <c r="B201" t="s">
        <v>563</v>
      </c>
      <c r="C201" t="s">
        <v>756</v>
      </c>
    </row>
    <row r="202" spans="1:3">
      <c r="A202" t="s">
        <v>405</v>
      </c>
      <c r="B202" t="s">
        <v>549</v>
      </c>
      <c r="C202" t="s">
        <v>757</v>
      </c>
    </row>
    <row r="203" spans="1:3">
      <c r="A203" t="s">
        <v>405</v>
      </c>
      <c r="B203" t="s">
        <v>551</v>
      </c>
      <c r="C203" t="s">
        <v>758</v>
      </c>
    </row>
    <row r="204" spans="1:3">
      <c r="A204" t="s">
        <v>405</v>
      </c>
      <c r="B204" t="s">
        <v>553</v>
      </c>
      <c r="C204" t="s">
        <v>759</v>
      </c>
    </row>
    <row r="205" spans="1:3">
      <c r="A205" t="s">
        <v>405</v>
      </c>
      <c r="B205" t="s">
        <v>555</v>
      </c>
      <c r="C205" t="s">
        <v>760</v>
      </c>
    </row>
    <row r="206" spans="1:3">
      <c r="A206" t="s">
        <v>405</v>
      </c>
      <c r="B206" t="s">
        <v>557</v>
      </c>
      <c r="C206" t="s">
        <v>761</v>
      </c>
    </row>
    <row r="207" spans="1:3">
      <c r="A207" t="s">
        <v>405</v>
      </c>
      <c r="B207" t="s">
        <v>559</v>
      </c>
      <c r="C207" t="s">
        <v>762</v>
      </c>
    </row>
    <row r="208" spans="1:3">
      <c r="A208" t="s">
        <v>405</v>
      </c>
      <c r="B208" t="s">
        <v>561</v>
      </c>
      <c r="C208" t="s">
        <v>763</v>
      </c>
    </row>
    <row r="209" spans="1:3">
      <c r="A209" t="s">
        <v>405</v>
      </c>
      <c r="B209" t="s">
        <v>563</v>
      </c>
      <c r="C209" t="s">
        <v>764</v>
      </c>
    </row>
    <row r="210" spans="1:3">
      <c r="A210" t="s">
        <v>406</v>
      </c>
      <c r="B210" t="s">
        <v>549</v>
      </c>
      <c r="C210" t="s">
        <v>765</v>
      </c>
    </row>
    <row r="211" spans="1:3">
      <c r="A211" t="s">
        <v>406</v>
      </c>
      <c r="B211" t="s">
        <v>551</v>
      </c>
      <c r="C211" t="s">
        <v>766</v>
      </c>
    </row>
    <row r="212" spans="1:3">
      <c r="A212" t="s">
        <v>406</v>
      </c>
      <c r="B212" t="s">
        <v>553</v>
      </c>
      <c r="C212" t="s">
        <v>767</v>
      </c>
    </row>
    <row r="213" spans="1:3">
      <c r="A213" t="s">
        <v>406</v>
      </c>
      <c r="B213" t="s">
        <v>555</v>
      </c>
      <c r="C213" t="s">
        <v>768</v>
      </c>
    </row>
    <row r="214" spans="1:3">
      <c r="A214" t="s">
        <v>406</v>
      </c>
      <c r="B214" t="s">
        <v>557</v>
      </c>
      <c r="C214" t="s">
        <v>769</v>
      </c>
    </row>
    <row r="215" spans="1:3">
      <c r="A215" t="s">
        <v>406</v>
      </c>
      <c r="B215" t="s">
        <v>559</v>
      </c>
      <c r="C215" t="s">
        <v>770</v>
      </c>
    </row>
    <row r="216" spans="1:3">
      <c r="A216" t="s">
        <v>406</v>
      </c>
      <c r="B216" t="s">
        <v>561</v>
      </c>
      <c r="C216" t="s">
        <v>771</v>
      </c>
    </row>
    <row r="217" spans="1:3">
      <c r="A217" t="s">
        <v>406</v>
      </c>
      <c r="B217" t="s">
        <v>563</v>
      </c>
      <c r="C217" t="s">
        <v>772</v>
      </c>
    </row>
    <row r="218" spans="1:3">
      <c r="A218" t="s">
        <v>407</v>
      </c>
      <c r="B218" t="s">
        <v>549</v>
      </c>
      <c r="C218" t="s">
        <v>773</v>
      </c>
    </row>
    <row r="219" spans="1:3">
      <c r="A219" t="s">
        <v>407</v>
      </c>
      <c r="B219" t="s">
        <v>551</v>
      </c>
      <c r="C219" t="s">
        <v>774</v>
      </c>
    </row>
    <row r="220" spans="1:3">
      <c r="A220" t="s">
        <v>407</v>
      </c>
      <c r="B220" t="s">
        <v>553</v>
      </c>
      <c r="C220" t="s">
        <v>775</v>
      </c>
    </row>
    <row r="221" spans="1:3">
      <c r="A221" t="s">
        <v>407</v>
      </c>
      <c r="B221" t="s">
        <v>555</v>
      </c>
      <c r="C221" t="s">
        <v>776</v>
      </c>
    </row>
    <row r="222" spans="1:3">
      <c r="A222" t="s">
        <v>407</v>
      </c>
      <c r="B222" t="s">
        <v>557</v>
      </c>
      <c r="C222" t="s">
        <v>777</v>
      </c>
    </row>
    <row r="223" spans="1:3">
      <c r="A223" t="s">
        <v>407</v>
      </c>
      <c r="B223" t="s">
        <v>559</v>
      </c>
      <c r="C223" t="s">
        <v>778</v>
      </c>
    </row>
    <row r="224" spans="1:3">
      <c r="A224" t="s">
        <v>407</v>
      </c>
      <c r="B224" t="s">
        <v>561</v>
      </c>
      <c r="C224" t="s">
        <v>779</v>
      </c>
    </row>
    <row r="225" spans="1:3">
      <c r="A225" t="s">
        <v>407</v>
      </c>
      <c r="B225" t="s">
        <v>563</v>
      </c>
      <c r="C225" t="s">
        <v>780</v>
      </c>
    </row>
    <row r="226" spans="1:3">
      <c r="A226" t="s">
        <v>408</v>
      </c>
      <c r="B226" t="s">
        <v>549</v>
      </c>
      <c r="C226" t="s">
        <v>781</v>
      </c>
    </row>
    <row r="227" spans="1:3">
      <c r="A227" t="s">
        <v>408</v>
      </c>
      <c r="B227" t="s">
        <v>551</v>
      </c>
      <c r="C227" t="s">
        <v>782</v>
      </c>
    </row>
    <row r="228" spans="1:3">
      <c r="A228" t="s">
        <v>408</v>
      </c>
      <c r="B228" t="s">
        <v>553</v>
      </c>
      <c r="C228" t="s">
        <v>783</v>
      </c>
    </row>
    <row r="229" spans="1:3">
      <c r="A229" t="s">
        <v>408</v>
      </c>
      <c r="B229" t="s">
        <v>555</v>
      </c>
      <c r="C229" t="s">
        <v>784</v>
      </c>
    </row>
    <row r="230" spans="1:3">
      <c r="A230" t="s">
        <v>408</v>
      </c>
      <c r="B230" t="s">
        <v>557</v>
      </c>
      <c r="C230" t="s">
        <v>785</v>
      </c>
    </row>
    <row r="231" spans="1:3">
      <c r="A231" t="s">
        <v>408</v>
      </c>
      <c r="B231" t="s">
        <v>559</v>
      </c>
      <c r="C231" t="s">
        <v>786</v>
      </c>
    </row>
    <row r="232" spans="1:3">
      <c r="A232" t="s">
        <v>408</v>
      </c>
      <c r="B232" t="s">
        <v>561</v>
      </c>
      <c r="C232" t="s">
        <v>787</v>
      </c>
    </row>
    <row r="233" spans="1:3">
      <c r="A233" t="s">
        <v>408</v>
      </c>
      <c r="B233" t="s">
        <v>563</v>
      </c>
      <c r="C233" t="s">
        <v>788</v>
      </c>
    </row>
    <row r="234" spans="1:3">
      <c r="A234" t="s">
        <v>409</v>
      </c>
      <c r="B234" t="s">
        <v>549</v>
      </c>
      <c r="C234" t="s">
        <v>789</v>
      </c>
    </row>
    <row r="235" spans="1:3">
      <c r="A235" t="s">
        <v>409</v>
      </c>
      <c r="B235" t="s">
        <v>551</v>
      </c>
      <c r="C235" t="s">
        <v>790</v>
      </c>
    </row>
    <row r="236" spans="1:3">
      <c r="A236" t="s">
        <v>409</v>
      </c>
      <c r="B236" t="s">
        <v>553</v>
      </c>
      <c r="C236" t="s">
        <v>791</v>
      </c>
    </row>
    <row r="237" spans="1:3">
      <c r="A237" t="s">
        <v>409</v>
      </c>
      <c r="B237" t="s">
        <v>555</v>
      </c>
      <c r="C237" t="s">
        <v>792</v>
      </c>
    </row>
    <row r="238" spans="1:3">
      <c r="A238" t="s">
        <v>409</v>
      </c>
      <c r="B238" t="s">
        <v>557</v>
      </c>
      <c r="C238" t="s">
        <v>793</v>
      </c>
    </row>
    <row r="239" spans="1:3">
      <c r="A239" t="s">
        <v>409</v>
      </c>
      <c r="B239" t="s">
        <v>559</v>
      </c>
      <c r="C239" t="s">
        <v>794</v>
      </c>
    </row>
    <row r="240" spans="1:3">
      <c r="A240" t="s">
        <v>409</v>
      </c>
      <c r="B240" t="s">
        <v>561</v>
      </c>
      <c r="C240" t="s">
        <v>795</v>
      </c>
    </row>
    <row r="241" spans="1:3">
      <c r="A241" t="s">
        <v>409</v>
      </c>
      <c r="B241" t="s">
        <v>563</v>
      </c>
      <c r="C241" t="s">
        <v>796</v>
      </c>
    </row>
    <row r="242" spans="1:3">
      <c r="A242" t="s">
        <v>410</v>
      </c>
      <c r="B242" t="s">
        <v>549</v>
      </c>
      <c r="C242" t="s">
        <v>797</v>
      </c>
    </row>
    <row r="243" spans="1:3">
      <c r="A243" t="s">
        <v>410</v>
      </c>
      <c r="B243" t="s">
        <v>551</v>
      </c>
      <c r="C243" t="s">
        <v>798</v>
      </c>
    </row>
    <row r="244" spans="1:3">
      <c r="A244" t="s">
        <v>410</v>
      </c>
      <c r="B244" t="s">
        <v>553</v>
      </c>
      <c r="C244" t="s">
        <v>799</v>
      </c>
    </row>
    <row r="245" spans="1:3">
      <c r="A245" t="s">
        <v>410</v>
      </c>
      <c r="B245" t="s">
        <v>555</v>
      </c>
      <c r="C245" t="s">
        <v>800</v>
      </c>
    </row>
    <row r="246" spans="1:3">
      <c r="A246" t="s">
        <v>410</v>
      </c>
      <c r="B246" t="s">
        <v>557</v>
      </c>
      <c r="C246" t="s">
        <v>801</v>
      </c>
    </row>
    <row r="247" spans="1:3">
      <c r="A247" t="s">
        <v>410</v>
      </c>
      <c r="B247" t="s">
        <v>559</v>
      </c>
      <c r="C247" t="s">
        <v>802</v>
      </c>
    </row>
    <row r="248" spans="1:3">
      <c r="A248" t="s">
        <v>410</v>
      </c>
      <c r="B248" t="s">
        <v>561</v>
      </c>
      <c r="C248" t="s">
        <v>803</v>
      </c>
    </row>
    <row r="249" spans="1:3">
      <c r="A249" t="s">
        <v>410</v>
      </c>
      <c r="B249" t="s">
        <v>563</v>
      </c>
      <c r="C249" t="s">
        <v>804</v>
      </c>
    </row>
    <row r="250" spans="1:3">
      <c r="A250" t="s">
        <v>411</v>
      </c>
      <c r="B250" t="s">
        <v>549</v>
      </c>
      <c r="C250" t="s">
        <v>805</v>
      </c>
    </row>
    <row r="251" spans="1:3">
      <c r="A251" t="s">
        <v>411</v>
      </c>
      <c r="B251" t="s">
        <v>551</v>
      </c>
      <c r="C251" t="s">
        <v>806</v>
      </c>
    </row>
    <row r="252" spans="1:3">
      <c r="A252" t="s">
        <v>411</v>
      </c>
      <c r="B252" t="s">
        <v>553</v>
      </c>
      <c r="C252" t="s">
        <v>807</v>
      </c>
    </row>
    <row r="253" spans="1:3">
      <c r="A253" t="s">
        <v>411</v>
      </c>
      <c r="B253" t="s">
        <v>555</v>
      </c>
      <c r="C253" t="s">
        <v>808</v>
      </c>
    </row>
    <row r="254" spans="1:3">
      <c r="A254" t="s">
        <v>411</v>
      </c>
      <c r="B254" t="s">
        <v>557</v>
      </c>
      <c r="C254" t="s">
        <v>809</v>
      </c>
    </row>
    <row r="255" spans="1:3">
      <c r="A255" t="s">
        <v>411</v>
      </c>
      <c r="B255" t="s">
        <v>559</v>
      </c>
      <c r="C255" t="s">
        <v>810</v>
      </c>
    </row>
    <row r="256" spans="1:3">
      <c r="A256" t="s">
        <v>411</v>
      </c>
      <c r="B256" t="s">
        <v>561</v>
      </c>
      <c r="C256" t="s">
        <v>811</v>
      </c>
    </row>
    <row r="257" spans="1:3">
      <c r="A257" t="s">
        <v>411</v>
      </c>
      <c r="B257" t="s">
        <v>563</v>
      </c>
      <c r="C257" t="s">
        <v>812</v>
      </c>
    </row>
    <row r="258" spans="1:3">
      <c r="A258" t="s">
        <v>412</v>
      </c>
      <c r="B258" t="s">
        <v>549</v>
      </c>
      <c r="C258" t="s">
        <v>813</v>
      </c>
    </row>
    <row r="259" spans="1:3">
      <c r="A259" t="s">
        <v>412</v>
      </c>
      <c r="B259" t="s">
        <v>551</v>
      </c>
      <c r="C259" t="s">
        <v>814</v>
      </c>
    </row>
    <row r="260" spans="1:3">
      <c r="A260" t="s">
        <v>412</v>
      </c>
      <c r="B260" t="s">
        <v>553</v>
      </c>
      <c r="C260" t="s">
        <v>815</v>
      </c>
    </row>
    <row r="261" spans="1:3">
      <c r="A261" t="s">
        <v>412</v>
      </c>
      <c r="B261" t="s">
        <v>555</v>
      </c>
      <c r="C261" t="s">
        <v>816</v>
      </c>
    </row>
    <row r="262" spans="1:3">
      <c r="A262" t="s">
        <v>412</v>
      </c>
      <c r="B262" t="s">
        <v>557</v>
      </c>
      <c r="C262" t="s">
        <v>817</v>
      </c>
    </row>
    <row r="263" spans="1:3">
      <c r="A263" t="s">
        <v>412</v>
      </c>
      <c r="B263" t="s">
        <v>559</v>
      </c>
      <c r="C263" t="s">
        <v>818</v>
      </c>
    </row>
    <row r="264" spans="1:3">
      <c r="A264" t="s">
        <v>412</v>
      </c>
      <c r="B264" t="s">
        <v>561</v>
      </c>
      <c r="C264" t="s">
        <v>819</v>
      </c>
    </row>
    <row r="265" spans="1:3">
      <c r="A265" t="s">
        <v>412</v>
      </c>
      <c r="B265" t="s">
        <v>563</v>
      </c>
      <c r="C265" t="s">
        <v>820</v>
      </c>
    </row>
    <row r="266" spans="1:3">
      <c r="A266" t="s">
        <v>413</v>
      </c>
      <c r="B266" t="s">
        <v>549</v>
      </c>
      <c r="C266" t="s">
        <v>821</v>
      </c>
    </row>
    <row r="267" spans="1:3">
      <c r="A267" t="s">
        <v>413</v>
      </c>
      <c r="B267" t="s">
        <v>551</v>
      </c>
      <c r="C267" t="s">
        <v>822</v>
      </c>
    </row>
    <row r="268" spans="1:3">
      <c r="A268" t="s">
        <v>413</v>
      </c>
      <c r="B268" t="s">
        <v>553</v>
      </c>
      <c r="C268" t="s">
        <v>823</v>
      </c>
    </row>
    <row r="269" spans="1:3">
      <c r="A269" t="s">
        <v>413</v>
      </c>
      <c r="B269" t="s">
        <v>555</v>
      </c>
      <c r="C269" t="s">
        <v>824</v>
      </c>
    </row>
    <row r="270" spans="1:3">
      <c r="A270" t="s">
        <v>413</v>
      </c>
      <c r="B270" t="s">
        <v>557</v>
      </c>
      <c r="C270" t="s">
        <v>825</v>
      </c>
    </row>
    <row r="271" spans="1:3">
      <c r="A271" t="s">
        <v>413</v>
      </c>
      <c r="B271" t="s">
        <v>559</v>
      </c>
      <c r="C271" t="s">
        <v>826</v>
      </c>
    </row>
    <row r="272" spans="1:3">
      <c r="A272" t="s">
        <v>413</v>
      </c>
      <c r="B272" t="s">
        <v>561</v>
      </c>
      <c r="C272" t="s">
        <v>827</v>
      </c>
    </row>
    <row r="273" spans="1:3">
      <c r="A273" t="s">
        <v>413</v>
      </c>
      <c r="B273" t="s">
        <v>563</v>
      </c>
      <c r="C273" t="s">
        <v>828</v>
      </c>
    </row>
    <row r="274" spans="1:3">
      <c r="A274" t="s">
        <v>414</v>
      </c>
      <c r="B274" t="s">
        <v>549</v>
      </c>
      <c r="C274" t="s">
        <v>829</v>
      </c>
    </row>
    <row r="275" spans="1:3">
      <c r="A275" t="s">
        <v>414</v>
      </c>
      <c r="B275" t="s">
        <v>551</v>
      </c>
      <c r="C275" t="s">
        <v>830</v>
      </c>
    </row>
    <row r="276" spans="1:3">
      <c r="A276" t="s">
        <v>414</v>
      </c>
      <c r="B276" t="s">
        <v>553</v>
      </c>
      <c r="C276" t="s">
        <v>831</v>
      </c>
    </row>
    <row r="277" spans="1:3">
      <c r="A277" t="s">
        <v>414</v>
      </c>
      <c r="B277" t="s">
        <v>555</v>
      </c>
      <c r="C277" t="s">
        <v>832</v>
      </c>
    </row>
    <row r="278" spans="1:3">
      <c r="A278" t="s">
        <v>414</v>
      </c>
      <c r="B278" t="s">
        <v>557</v>
      </c>
      <c r="C278" t="s">
        <v>833</v>
      </c>
    </row>
    <row r="279" spans="1:3">
      <c r="A279" t="s">
        <v>414</v>
      </c>
      <c r="B279" t="s">
        <v>559</v>
      </c>
      <c r="C279" t="s">
        <v>834</v>
      </c>
    </row>
    <row r="280" spans="1:3">
      <c r="A280" t="s">
        <v>414</v>
      </c>
      <c r="B280" t="s">
        <v>561</v>
      </c>
      <c r="C280" t="s">
        <v>835</v>
      </c>
    </row>
    <row r="281" spans="1:3">
      <c r="A281" t="s">
        <v>414</v>
      </c>
      <c r="B281" t="s">
        <v>563</v>
      </c>
      <c r="C281" t="s">
        <v>836</v>
      </c>
    </row>
    <row r="282" spans="1:3">
      <c r="A282" t="s">
        <v>415</v>
      </c>
      <c r="B282" t="s">
        <v>549</v>
      </c>
      <c r="C282" t="s">
        <v>837</v>
      </c>
    </row>
    <row r="283" spans="1:3">
      <c r="A283" t="s">
        <v>415</v>
      </c>
      <c r="B283" t="s">
        <v>551</v>
      </c>
      <c r="C283" t="s">
        <v>838</v>
      </c>
    </row>
    <row r="284" spans="1:3">
      <c r="A284" t="s">
        <v>415</v>
      </c>
      <c r="B284" t="s">
        <v>553</v>
      </c>
      <c r="C284" t="s">
        <v>839</v>
      </c>
    </row>
    <row r="285" spans="1:3">
      <c r="A285" t="s">
        <v>415</v>
      </c>
      <c r="B285" t="s">
        <v>555</v>
      </c>
      <c r="C285" t="s">
        <v>840</v>
      </c>
    </row>
    <row r="286" spans="1:3">
      <c r="A286" t="s">
        <v>415</v>
      </c>
      <c r="B286" t="s">
        <v>557</v>
      </c>
      <c r="C286" t="s">
        <v>841</v>
      </c>
    </row>
    <row r="287" spans="1:3">
      <c r="A287" t="s">
        <v>415</v>
      </c>
      <c r="B287" t="s">
        <v>559</v>
      </c>
      <c r="C287" t="s">
        <v>842</v>
      </c>
    </row>
    <row r="288" spans="1:3">
      <c r="A288" t="s">
        <v>415</v>
      </c>
      <c r="B288" t="s">
        <v>561</v>
      </c>
      <c r="C288" t="s">
        <v>843</v>
      </c>
    </row>
    <row r="289" spans="1:3">
      <c r="A289" t="s">
        <v>415</v>
      </c>
      <c r="B289" t="s">
        <v>563</v>
      </c>
      <c r="C289" t="s">
        <v>844</v>
      </c>
    </row>
    <row r="290" spans="1:3">
      <c r="A290" t="s">
        <v>416</v>
      </c>
      <c r="B290" t="s">
        <v>549</v>
      </c>
      <c r="C290" t="s">
        <v>845</v>
      </c>
    </row>
    <row r="291" spans="1:3">
      <c r="A291" t="s">
        <v>416</v>
      </c>
      <c r="B291" t="s">
        <v>551</v>
      </c>
      <c r="C291" t="s">
        <v>846</v>
      </c>
    </row>
    <row r="292" spans="1:3">
      <c r="A292" t="s">
        <v>416</v>
      </c>
      <c r="B292" t="s">
        <v>553</v>
      </c>
      <c r="C292" t="s">
        <v>847</v>
      </c>
    </row>
    <row r="293" spans="1:3">
      <c r="A293" t="s">
        <v>416</v>
      </c>
      <c r="B293" t="s">
        <v>555</v>
      </c>
      <c r="C293" t="s">
        <v>848</v>
      </c>
    </row>
    <row r="294" spans="1:3">
      <c r="A294" t="s">
        <v>416</v>
      </c>
      <c r="B294" t="s">
        <v>557</v>
      </c>
      <c r="C294" t="s">
        <v>849</v>
      </c>
    </row>
    <row r="295" spans="1:3">
      <c r="A295" t="s">
        <v>416</v>
      </c>
      <c r="B295" t="s">
        <v>559</v>
      </c>
      <c r="C295" t="s">
        <v>850</v>
      </c>
    </row>
    <row r="296" spans="1:3">
      <c r="A296" t="s">
        <v>416</v>
      </c>
      <c r="B296" t="s">
        <v>561</v>
      </c>
      <c r="C296" t="s">
        <v>851</v>
      </c>
    </row>
    <row r="297" spans="1:3">
      <c r="A297" t="s">
        <v>416</v>
      </c>
      <c r="B297" t="s">
        <v>563</v>
      </c>
      <c r="C297" t="s">
        <v>852</v>
      </c>
    </row>
    <row r="298" spans="1:3">
      <c r="A298" t="s">
        <v>417</v>
      </c>
      <c r="B298" t="s">
        <v>549</v>
      </c>
      <c r="C298" t="s">
        <v>853</v>
      </c>
    </row>
    <row r="299" spans="1:3">
      <c r="A299" t="s">
        <v>417</v>
      </c>
      <c r="B299" t="s">
        <v>551</v>
      </c>
      <c r="C299" t="s">
        <v>854</v>
      </c>
    </row>
    <row r="300" spans="1:3">
      <c r="A300" t="s">
        <v>417</v>
      </c>
      <c r="B300" t="s">
        <v>553</v>
      </c>
      <c r="C300" t="s">
        <v>855</v>
      </c>
    </row>
    <row r="301" spans="1:3">
      <c r="A301" t="s">
        <v>417</v>
      </c>
      <c r="B301" t="s">
        <v>555</v>
      </c>
      <c r="C301" t="s">
        <v>856</v>
      </c>
    </row>
    <row r="302" spans="1:3">
      <c r="A302" t="s">
        <v>417</v>
      </c>
      <c r="B302" t="s">
        <v>557</v>
      </c>
      <c r="C302" t="s">
        <v>857</v>
      </c>
    </row>
    <row r="303" spans="1:3">
      <c r="A303" t="s">
        <v>417</v>
      </c>
      <c r="B303" t="s">
        <v>559</v>
      </c>
      <c r="C303" t="s">
        <v>858</v>
      </c>
    </row>
    <row r="304" spans="1:3">
      <c r="A304" t="s">
        <v>417</v>
      </c>
      <c r="B304" t="s">
        <v>561</v>
      </c>
      <c r="C304" t="s">
        <v>859</v>
      </c>
    </row>
    <row r="305" spans="1:3">
      <c r="A305" t="s">
        <v>417</v>
      </c>
      <c r="B305" t="s">
        <v>563</v>
      </c>
      <c r="C305" t="s">
        <v>860</v>
      </c>
    </row>
    <row r="306" spans="1:3">
      <c r="A306" t="s">
        <v>418</v>
      </c>
      <c r="B306" t="s">
        <v>549</v>
      </c>
      <c r="C306" t="s">
        <v>861</v>
      </c>
    </row>
    <row r="307" spans="1:3">
      <c r="A307" t="s">
        <v>418</v>
      </c>
      <c r="B307" t="s">
        <v>551</v>
      </c>
      <c r="C307" t="s">
        <v>862</v>
      </c>
    </row>
    <row r="308" spans="1:3">
      <c r="A308" t="s">
        <v>418</v>
      </c>
      <c r="B308" t="s">
        <v>553</v>
      </c>
      <c r="C308" t="s">
        <v>863</v>
      </c>
    </row>
    <row r="309" spans="1:3">
      <c r="A309" t="s">
        <v>418</v>
      </c>
      <c r="B309" t="s">
        <v>555</v>
      </c>
      <c r="C309" t="s">
        <v>864</v>
      </c>
    </row>
    <row r="310" spans="1:3">
      <c r="A310" t="s">
        <v>418</v>
      </c>
      <c r="B310" t="s">
        <v>557</v>
      </c>
      <c r="C310" t="s">
        <v>865</v>
      </c>
    </row>
    <row r="311" spans="1:3">
      <c r="A311" t="s">
        <v>418</v>
      </c>
      <c r="B311" t="s">
        <v>559</v>
      </c>
      <c r="C311" t="s">
        <v>866</v>
      </c>
    </row>
    <row r="312" spans="1:3">
      <c r="A312" t="s">
        <v>418</v>
      </c>
      <c r="B312" t="s">
        <v>561</v>
      </c>
      <c r="C312" t="s">
        <v>867</v>
      </c>
    </row>
    <row r="313" spans="1:3">
      <c r="A313" t="s">
        <v>418</v>
      </c>
      <c r="B313" t="s">
        <v>563</v>
      </c>
      <c r="C313" t="s">
        <v>868</v>
      </c>
    </row>
    <row r="314" spans="1:3">
      <c r="A314" t="s">
        <v>419</v>
      </c>
      <c r="B314" t="s">
        <v>549</v>
      </c>
      <c r="C314" t="s">
        <v>869</v>
      </c>
    </row>
    <row r="315" spans="1:3">
      <c r="A315" t="s">
        <v>419</v>
      </c>
      <c r="B315" t="s">
        <v>551</v>
      </c>
      <c r="C315" t="s">
        <v>870</v>
      </c>
    </row>
    <row r="316" spans="1:3">
      <c r="A316" t="s">
        <v>419</v>
      </c>
      <c r="B316" t="s">
        <v>553</v>
      </c>
      <c r="C316" t="s">
        <v>871</v>
      </c>
    </row>
    <row r="317" spans="1:3">
      <c r="A317" t="s">
        <v>419</v>
      </c>
      <c r="B317" t="s">
        <v>555</v>
      </c>
      <c r="C317" t="s">
        <v>872</v>
      </c>
    </row>
    <row r="318" spans="1:3">
      <c r="A318" t="s">
        <v>419</v>
      </c>
      <c r="B318" t="s">
        <v>557</v>
      </c>
      <c r="C318" t="s">
        <v>873</v>
      </c>
    </row>
    <row r="319" spans="1:3">
      <c r="A319" t="s">
        <v>419</v>
      </c>
      <c r="B319" t="s">
        <v>559</v>
      </c>
      <c r="C319" t="s">
        <v>874</v>
      </c>
    </row>
    <row r="320" spans="1:3">
      <c r="A320" t="s">
        <v>419</v>
      </c>
      <c r="B320" t="s">
        <v>561</v>
      </c>
      <c r="C320" t="s">
        <v>875</v>
      </c>
    </row>
    <row r="321" spans="1:3">
      <c r="A321" t="s">
        <v>419</v>
      </c>
      <c r="B321" t="s">
        <v>563</v>
      </c>
      <c r="C321" t="s">
        <v>876</v>
      </c>
    </row>
    <row r="322" spans="1:3">
      <c r="A322" t="s">
        <v>420</v>
      </c>
      <c r="B322" t="s">
        <v>549</v>
      </c>
      <c r="C322" t="s">
        <v>877</v>
      </c>
    </row>
    <row r="323" spans="1:3">
      <c r="A323" t="s">
        <v>420</v>
      </c>
      <c r="B323" t="s">
        <v>551</v>
      </c>
      <c r="C323" t="s">
        <v>878</v>
      </c>
    </row>
    <row r="324" spans="1:3">
      <c r="A324" t="s">
        <v>420</v>
      </c>
      <c r="B324" t="s">
        <v>553</v>
      </c>
      <c r="C324" t="s">
        <v>879</v>
      </c>
    </row>
    <row r="325" spans="1:3">
      <c r="A325" t="s">
        <v>420</v>
      </c>
      <c r="B325" t="s">
        <v>555</v>
      </c>
      <c r="C325" t="s">
        <v>880</v>
      </c>
    </row>
    <row r="326" spans="1:3">
      <c r="A326" t="s">
        <v>420</v>
      </c>
      <c r="B326" t="s">
        <v>557</v>
      </c>
      <c r="C326" t="s">
        <v>881</v>
      </c>
    </row>
    <row r="327" spans="1:3">
      <c r="A327" t="s">
        <v>420</v>
      </c>
      <c r="B327" t="s">
        <v>559</v>
      </c>
      <c r="C327" t="s">
        <v>882</v>
      </c>
    </row>
    <row r="328" spans="1:3">
      <c r="A328" t="s">
        <v>420</v>
      </c>
      <c r="B328" t="s">
        <v>561</v>
      </c>
      <c r="C328" t="s">
        <v>883</v>
      </c>
    </row>
    <row r="329" spans="1:3">
      <c r="A329" t="s">
        <v>420</v>
      </c>
      <c r="B329" t="s">
        <v>563</v>
      </c>
      <c r="C329" t="s">
        <v>884</v>
      </c>
    </row>
    <row r="330" spans="1:3">
      <c r="A330" t="s">
        <v>421</v>
      </c>
      <c r="B330" t="s">
        <v>549</v>
      </c>
      <c r="C330" t="s">
        <v>885</v>
      </c>
    </row>
    <row r="331" spans="1:3">
      <c r="A331" t="s">
        <v>421</v>
      </c>
      <c r="B331" t="s">
        <v>551</v>
      </c>
      <c r="C331" t="s">
        <v>886</v>
      </c>
    </row>
    <row r="332" spans="1:3">
      <c r="A332" t="s">
        <v>421</v>
      </c>
      <c r="B332" t="s">
        <v>553</v>
      </c>
      <c r="C332" t="s">
        <v>887</v>
      </c>
    </row>
    <row r="333" spans="1:3">
      <c r="A333" t="s">
        <v>421</v>
      </c>
      <c r="B333" t="s">
        <v>555</v>
      </c>
      <c r="C333" t="s">
        <v>888</v>
      </c>
    </row>
    <row r="334" spans="1:3">
      <c r="A334" t="s">
        <v>421</v>
      </c>
      <c r="B334" t="s">
        <v>557</v>
      </c>
      <c r="C334" t="s">
        <v>889</v>
      </c>
    </row>
    <row r="335" spans="1:3">
      <c r="A335" t="s">
        <v>421</v>
      </c>
      <c r="B335" t="s">
        <v>559</v>
      </c>
      <c r="C335" t="s">
        <v>890</v>
      </c>
    </row>
    <row r="336" spans="1:3">
      <c r="A336" t="s">
        <v>421</v>
      </c>
      <c r="B336" t="s">
        <v>561</v>
      </c>
      <c r="C336" t="s">
        <v>891</v>
      </c>
    </row>
    <row r="337" spans="1:3">
      <c r="A337" t="s">
        <v>421</v>
      </c>
      <c r="B337" t="s">
        <v>563</v>
      </c>
      <c r="C337" t="s">
        <v>892</v>
      </c>
    </row>
    <row r="338" spans="1:3">
      <c r="A338" t="s">
        <v>422</v>
      </c>
      <c r="B338" t="s">
        <v>549</v>
      </c>
      <c r="C338" t="s">
        <v>893</v>
      </c>
    </row>
    <row r="339" spans="1:3">
      <c r="A339" t="s">
        <v>422</v>
      </c>
      <c r="B339" t="s">
        <v>551</v>
      </c>
      <c r="C339" t="s">
        <v>894</v>
      </c>
    </row>
    <row r="340" spans="1:3">
      <c r="A340" t="s">
        <v>422</v>
      </c>
      <c r="B340" t="s">
        <v>553</v>
      </c>
      <c r="C340" t="s">
        <v>895</v>
      </c>
    </row>
    <row r="341" spans="1:3">
      <c r="A341" t="s">
        <v>422</v>
      </c>
      <c r="B341" t="s">
        <v>555</v>
      </c>
      <c r="C341" t="s">
        <v>896</v>
      </c>
    </row>
    <row r="342" spans="1:3">
      <c r="A342" t="s">
        <v>422</v>
      </c>
      <c r="B342" t="s">
        <v>557</v>
      </c>
      <c r="C342" t="s">
        <v>897</v>
      </c>
    </row>
    <row r="343" spans="1:3">
      <c r="A343" t="s">
        <v>422</v>
      </c>
      <c r="B343" t="s">
        <v>559</v>
      </c>
      <c r="C343" t="s">
        <v>898</v>
      </c>
    </row>
    <row r="344" spans="1:3">
      <c r="A344" t="s">
        <v>422</v>
      </c>
      <c r="B344" t="s">
        <v>561</v>
      </c>
      <c r="C344" t="s">
        <v>899</v>
      </c>
    </row>
    <row r="345" spans="1:3">
      <c r="A345" t="s">
        <v>422</v>
      </c>
      <c r="B345" t="s">
        <v>563</v>
      </c>
      <c r="C345" t="s">
        <v>900</v>
      </c>
    </row>
    <row r="346" spans="1:3">
      <c r="A346" t="s">
        <v>423</v>
      </c>
      <c r="B346" t="s">
        <v>549</v>
      </c>
      <c r="C346" t="s">
        <v>901</v>
      </c>
    </row>
    <row r="347" spans="1:3">
      <c r="A347" t="s">
        <v>423</v>
      </c>
      <c r="B347" t="s">
        <v>551</v>
      </c>
      <c r="C347" t="s">
        <v>902</v>
      </c>
    </row>
    <row r="348" spans="1:3">
      <c r="A348" t="s">
        <v>423</v>
      </c>
      <c r="B348" t="s">
        <v>553</v>
      </c>
      <c r="C348" t="s">
        <v>903</v>
      </c>
    </row>
    <row r="349" spans="1:3">
      <c r="A349" t="s">
        <v>423</v>
      </c>
      <c r="B349" t="s">
        <v>555</v>
      </c>
      <c r="C349" t="s">
        <v>904</v>
      </c>
    </row>
    <row r="350" spans="1:3">
      <c r="A350" t="s">
        <v>423</v>
      </c>
      <c r="B350" t="s">
        <v>557</v>
      </c>
      <c r="C350" t="s">
        <v>905</v>
      </c>
    </row>
    <row r="351" spans="1:3">
      <c r="A351" t="s">
        <v>423</v>
      </c>
      <c r="B351" t="s">
        <v>559</v>
      </c>
      <c r="C351" t="s">
        <v>906</v>
      </c>
    </row>
    <row r="352" spans="1:3">
      <c r="A352" t="s">
        <v>423</v>
      </c>
      <c r="B352" t="s">
        <v>561</v>
      </c>
      <c r="C352" t="s">
        <v>907</v>
      </c>
    </row>
    <row r="353" spans="1:3">
      <c r="A353" t="s">
        <v>423</v>
      </c>
      <c r="B353" t="s">
        <v>563</v>
      </c>
      <c r="C353" t="s">
        <v>908</v>
      </c>
    </row>
    <row r="354" spans="1:3">
      <c r="A354" t="s">
        <v>424</v>
      </c>
      <c r="B354" t="s">
        <v>549</v>
      </c>
      <c r="C354" t="s">
        <v>909</v>
      </c>
    </row>
    <row r="355" spans="1:3">
      <c r="A355" t="s">
        <v>424</v>
      </c>
      <c r="B355" t="s">
        <v>551</v>
      </c>
      <c r="C355" t="s">
        <v>910</v>
      </c>
    </row>
    <row r="356" spans="1:3">
      <c r="A356" t="s">
        <v>424</v>
      </c>
      <c r="B356" t="s">
        <v>553</v>
      </c>
      <c r="C356" t="s">
        <v>911</v>
      </c>
    </row>
    <row r="357" spans="1:3">
      <c r="A357" t="s">
        <v>424</v>
      </c>
      <c r="B357" t="s">
        <v>555</v>
      </c>
      <c r="C357" t="s">
        <v>912</v>
      </c>
    </row>
    <row r="358" spans="1:3">
      <c r="A358" t="s">
        <v>424</v>
      </c>
      <c r="B358" t="s">
        <v>557</v>
      </c>
      <c r="C358" t="s">
        <v>913</v>
      </c>
    </row>
    <row r="359" spans="1:3">
      <c r="A359" t="s">
        <v>424</v>
      </c>
      <c r="B359" t="s">
        <v>559</v>
      </c>
      <c r="C359" t="s">
        <v>914</v>
      </c>
    </row>
    <row r="360" spans="1:3">
      <c r="A360" t="s">
        <v>424</v>
      </c>
      <c r="B360" t="s">
        <v>561</v>
      </c>
      <c r="C360" t="s">
        <v>915</v>
      </c>
    </row>
    <row r="361" spans="1:3">
      <c r="A361" t="s">
        <v>424</v>
      </c>
      <c r="B361" t="s">
        <v>563</v>
      </c>
      <c r="C361" t="s">
        <v>916</v>
      </c>
    </row>
    <row r="362" spans="1:3">
      <c r="A362" t="s">
        <v>425</v>
      </c>
      <c r="B362" t="s">
        <v>549</v>
      </c>
      <c r="C362" t="s">
        <v>917</v>
      </c>
    </row>
    <row r="363" spans="1:3">
      <c r="A363" t="s">
        <v>425</v>
      </c>
      <c r="B363" t="s">
        <v>551</v>
      </c>
      <c r="C363" t="s">
        <v>918</v>
      </c>
    </row>
    <row r="364" spans="1:3">
      <c r="A364" t="s">
        <v>425</v>
      </c>
      <c r="B364" t="s">
        <v>553</v>
      </c>
      <c r="C364" t="s">
        <v>919</v>
      </c>
    </row>
    <row r="365" spans="1:3">
      <c r="A365" t="s">
        <v>425</v>
      </c>
      <c r="B365" t="s">
        <v>555</v>
      </c>
      <c r="C365" t="s">
        <v>920</v>
      </c>
    </row>
    <row r="366" spans="1:3">
      <c r="A366" t="s">
        <v>425</v>
      </c>
      <c r="B366" t="s">
        <v>557</v>
      </c>
      <c r="C366" t="s">
        <v>921</v>
      </c>
    </row>
    <row r="367" spans="1:3">
      <c r="A367" t="s">
        <v>425</v>
      </c>
      <c r="B367" t="s">
        <v>559</v>
      </c>
      <c r="C367" t="s">
        <v>922</v>
      </c>
    </row>
    <row r="368" spans="1:3">
      <c r="A368" t="s">
        <v>425</v>
      </c>
      <c r="B368" t="s">
        <v>561</v>
      </c>
      <c r="C368" t="s">
        <v>923</v>
      </c>
    </row>
    <row r="369" spans="1:3">
      <c r="A369" t="s">
        <v>425</v>
      </c>
      <c r="B369" t="s">
        <v>563</v>
      </c>
      <c r="C369" t="s">
        <v>924</v>
      </c>
    </row>
    <row r="370" spans="1:3">
      <c r="A370" t="s">
        <v>426</v>
      </c>
      <c r="B370" t="s">
        <v>549</v>
      </c>
      <c r="C370" t="s">
        <v>925</v>
      </c>
    </row>
    <row r="371" spans="1:3">
      <c r="A371" t="s">
        <v>426</v>
      </c>
      <c r="B371" t="s">
        <v>551</v>
      </c>
      <c r="C371" t="s">
        <v>926</v>
      </c>
    </row>
    <row r="372" spans="1:3">
      <c r="A372" t="s">
        <v>426</v>
      </c>
      <c r="B372" t="s">
        <v>553</v>
      </c>
      <c r="C372" t="s">
        <v>927</v>
      </c>
    </row>
    <row r="373" spans="1:3">
      <c r="A373" t="s">
        <v>426</v>
      </c>
      <c r="B373" t="s">
        <v>555</v>
      </c>
      <c r="C373" t="s">
        <v>928</v>
      </c>
    </row>
    <row r="374" spans="1:3">
      <c r="A374" t="s">
        <v>426</v>
      </c>
      <c r="B374" t="s">
        <v>557</v>
      </c>
      <c r="C374" t="s">
        <v>929</v>
      </c>
    </row>
    <row r="375" spans="1:3">
      <c r="A375" t="s">
        <v>426</v>
      </c>
      <c r="B375" t="s">
        <v>559</v>
      </c>
      <c r="C375" t="s">
        <v>930</v>
      </c>
    </row>
    <row r="376" spans="1:3">
      <c r="A376" t="s">
        <v>426</v>
      </c>
      <c r="B376" t="s">
        <v>561</v>
      </c>
      <c r="C376" t="s">
        <v>931</v>
      </c>
    </row>
    <row r="377" spans="1:3">
      <c r="A377" t="s">
        <v>426</v>
      </c>
      <c r="B377" t="s">
        <v>563</v>
      </c>
      <c r="C377" t="s">
        <v>932</v>
      </c>
    </row>
    <row r="378" spans="1:3">
      <c r="A378" t="s">
        <v>427</v>
      </c>
      <c r="B378" t="s">
        <v>549</v>
      </c>
      <c r="C378" t="s">
        <v>933</v>
      </c>
    </row>
    <row r="379" spans="1:3">
      <c r="A379" t="s">
        <v>427</v>
      </c>
      <c r="B379" t="s">
        <v>551</v>
      </c>
      <c r="C379" t="s">
        <v>934</v>
      </c>
    </row>
    <row r="380" spans="1:3">
      <c r="A380" t="s">
        <v>427</v>
      </c>
      <c r="B380" t="s">
        <v>553</v>
      </c>
      <c r="C380" t="s">
        <v>935</v>
      </c>
    </row>
    <row r="381" spans="1:3">
      <c r="A381" t="s">
        <v>427</v>
      </c>
      <c r="B381" t="s">
        <v>555</v>
      </c>
      <c r="C381" t="s">
        <v>936</v>
      </c>
    </row>
    <row r="382" spans="1:3">
      <c r="A382" t="s">
        <v>427</v>
      </c>
      <c r="B382" t="s">
        <v>557</v>
      </c>
      <c r="C382" t="s">
        <v>937</v>
      </c>
    </row>
    <row r="383" spans="1:3">
      <c r="A383" t="s">
        <v>427</v>
      </c>
      <c r="B383" t="s">
        <v>559</v>
      </c>
      <c r="C383" t="s">
        <v>938</v>
      </c>
    </row>
    <row r="384" spans="1:3">
      <c r="A384" t="s">
        <v>427</v>
      </c>
      <c r="B384" t="s">
        <v>561</v>
      </c>
      <c r="C384" t="s">
        <v>939</v>
      </c>
    </row>
    <row r="385" spans="1:3">
      <c r="A385" t="s">
        <v>427</v>
      </c>
      <c r="B385" t="s">
        <v>563</v>
      </c>
      <c r="C385" t="s">
        <v>940</v>
      </c>
    </row>
    <row r="386" spans="1:3">
      <c r="A386" t="s">
        <v>428</v>
      </c>
      <c r="B386" t="s">
        <v>549</v>
      </c>
      <c r="C386" t="s">
        <v>941</v>
      </c>
    </row>
    <row r="387" spans="1:3">
      <c r="A387" t="s">
        <v>428</v>
      </c>
      <c r="B387" t="s">
        <v>551</v>
      </c>
      <c r="C387" t="s">
        <v>942</v>
      </c>
    </row>
    <row r="388" spans="1:3">
      <c r="A388" t="s">
        <v>428</v>
      </c>
      <c r="B388" t="s">
        <v>553</v>
      </c>
      <c r="C388" t="s">
        <v>943</v>
      </c>
    </row>
    <row r="389" spans="1:3">
      <c r="A389" t="s">
        <v>428</v>
      </c>
      <c r="B389" t="s">
        <v>555</v>
      </c>
      <c r="C389" t="s">
        <v>944</v>
      </c>
    </row>
    <row r="390" spans="1:3">
      <c r="A390" t="s">
        <v>428</v>
      </c>
      <c r="B390" t="s">
        <v>557</v>
      </c>
      <c r="C390" t="s">
        <v>945</v>
      </c>
    </row>
    <row r="391" spans="1:3">
      <c r="A391" t="s">
        <v>428</v>
      </c>
      <c r="B391" t="s">
        <v>559</v>
      </c>
      <c r="C391" t="s">
        <v>946</v>
      </c>
    </row>
    <row r="392" spans="1:3">
      <c r="A392" t="s">
        <v>428</v>
      </c>
      <c r="B392" t="s">
        <v>561</v>
      </c>
      <c r="C392" t="s">
        <v>947</v>
      </c>
    </row>
    <row r="393" spans="1:3">
      <c r="A393" t="s">
        <v>428</v>
      </c>
      <c r="B393" t="s">
        <v>563</v>
      </c>
      <c r="C393" t="s">
        <v>948</v>
      </c>
    </row>
    <row r="394" spans="1:3">
      <c r="A394" t="s">
        <v>429</v>
      </c>
      <c r="B394" t="s">
        <v>549</v>
      </c>
      <c r="C394" t="s">
        <v>949</v>
      </c>
    </row>
    <row r="395" spans="1:3">
      <c r="A395" t="s">
        <v>429</v>
      </c>
      <c r="B395" t="s">
        <v>551</v>
      </c>
      <c r="C395" t="s">
        <v>950</v>
      </c>
    </row>
    <row r="396" spans="1:3">
      <c r="A396" t="s">
        <v>429</v>
      </c>
      <c r="B396" t="s">
        <v>553</v>
      </c>
      <c r="C396" t="s">
        <v>951</v>
      </c>
    </row>
    <row r="397" spans="1:3">
      <c r="A397" t="s">
        <v>429</v>
      </c>
      <c r="B397" t="s">
        <v>555</v>
      </c>
      <c r="C397" t="s">
        <v>952</v>
      </c>
    </row>
    <row r="398" spans="1:3">
      <c r="A398" t="s">
        <v>429</v>
      </c>
      <c r="B398" t="s">
        <v>557</v>
      </c>
      <c r="C398" t="s">
        <v>953</v>
      </c>
    </row>
    <row r="399" spans="1:3">
      <c r="A399" t="s">
        <v>429</v>
      </c>
      <c r="B399" t="s">
        <v>559</v>
      </c>
      <c r="C399" t="s">
        <v>954</v>
      </c>
    </row>
    <row r="400" spans="1:3">
      <c r="A400" t="s">
        <v>429</v>
      </c>
      <c r="B400" t="s">
        <v>561</v>
      </c>
      <c r="C400" t="s">
        <v>955</v>
      </c>
    </row>
    <row r="401" spans="1:3">
      <c r="A401" t="s">
        <v>429</v>
      </c>
      <c r="B401" t="s">
        <v>563</v>
      </c>
      <c r="C401" t="s">
        <v>956</v>
      </c>
    </row>
    <row r="402" spans="1:3">
      <c r="A402" t="s">
        <v>430</v>
      </c>
      <c r="B402" t="s">
        <v>549</v>
      </c>
      <c r="C402" t="s">
        <v>957</v>
      </c>
    </row>
    <row r="403" spans="1:3">
      <c r="A403" t="s">
        <v>430</v>
      </c>
      <c r="B403" t="s">
        <v>551</v>
      </c>
      <c r="C403" t="s">
        <v>958</v>
      </c>
    </row>
    <row r="404" spans="1:3">
      <c r="A404" t="s">
        <v>430</v>
      </c>
      <c r="B404" t="s">
        <v>553</v>
      </c>
      <c r="C404" t="s">
        <v>959</v>
      </c>
    </row>
    <row r="405" spans="1:3">
      <c r="A405" t="s">
        <v>430</v>
      </c>
      <c r="B405" t="s">
        <v>555</v>
      </c>
      <c r="C405" t="s">
        <v>960</v>
      </c>
    </row>
    <row r="406" spans="1:3">
      <c r="A406" t="s">
        <v>430</v>
      </c>
      <c r="B406" t="s">
        <v>557</v>
      </c>
      <c r="C406" t="s">
        <v>961</v>
      </c>
    </row>
    <row r="407" spans="1:3">
      <c r="A407" t="s">
        <v>430</v>
      </c>
      <c r="B407" t="s">
        <v>559</v>
      </c>
      <c r="C407" t="s">
        <v>962</v>
      </c>
    </row>
    <row r="408" spans="1:3">
      <c r="A408" t="s">
        <v>430</v>
      </c>
      <c r="B408" t="s">
        <v>561</v>
      </c>
      <c r="C408" t="s">
        <v>963</v>
      </c>
    </row>
    <row r="409" spans="1:3">
      <c r="A409" t="s">
        <v>430</v>
      </c>
      <c r="B409" t="s">
        <v>563</v>
      </c>
      <c r="C409" t="s">
        <v>964</v>
      </c>
    </row>
    <row r="410" spans="1:3">
      <c r="A410" t="s">
        <v>431</v>
      </c>
      <c r="B410" t="s">
        <v>549</v>
      </c>
      <c r="C410" t="s">
        <v>965</v>
      </c>
    </row>
    <row r="411" spans="1:3">
      <c r="A411" t="s">
        <v>431</v>
      </c>
      <c r="B411" t="s">
        <v>551</v>
      </c>
      <c r="C411" t="s">
        <v>966</v>
      </c>
    </row>
    <row r="412" spans="1:3">
      <c r="A412" t="s">
        <v>431</v>
      </c>
      <c r="B412" t="s">
        <v>553</v>
      </c>
      <c r="C412" t="s">
        <v>967</v>
      </c>
    </row>
    <row r="413" spans="1:3">
      <c r="A413" t="s">
        <v>431</v>
      </c>
      <c r="B413" t="s">
        <v>555</v>
      </c>
      <c r="C413" t="s">
        <v>968</v>
      </c>
    </row>
    <row r="414" spans="1:3">
      <c r="A414" t="s">
        <v>431</v>
      </c>
      <c r="B414" t="s">
        <v>557</v>
      </c>
      <c r="C414" t="s">
        <v>969</v>
      </c>
    </row>
    <row r="415" spans="1:3">
      <c r="A415" t="s">
        <v>431</v>
      </c>
      <c r="B415" t="s">
        <v>559</v>
      </c>
      <c r="C415" t="s">
        <v>970</v>
      </c>
    </row>
    <row r="416" spans="1:3">
      <c r="A416" t="s">
        <v>431</v>
      </c>
      <c r="B416" t="s">
        <v>561</v>
      </c>
      <c r="C416" t="s">
        <v>971</v>
      </c>
    </row>
    <row r="417" spans="1:3">
      <c r="A417" t="s">
        <v>431</v>
      </c>
      <c r="B417" t="s">
        <v>563</v>
      </c>
      <c r="C417" t="s">
        <v>972</v>
      </c>
    </row>
    <row r="418" spans="1:3">
      <c r="A418" t="s">
        <v>432</v>
      </c>
      <c r="B418" t="s">
        <v>549</v>
      </c>
      <c r="C418" t="s">
        <v>973</v>
      </c>
    </row>
    <row r="419" spans="1:3">
      <c r="A419" t="s">
        <v>432</v>
      </c>
      <c r="B419" t="s">
        <v>551</v>
      </c>
      <c r="C419" t="s">
        <v>974</v>
      </c>
    </row>
    <row r="420" spans="1:3">
      <c r="A420" t="s">
        <v>432</v>
      </c>
      <c r="B420" t="s">
        <v>553</v>
      </c>
      <c r="C420" t="s">
        <v>975</v>
      </c>
    </row>
    <row r="421" spans="1:3">
      <c r="A421" t="s">
        <v>432</v>
      </c>
      <c r="B421" t="s">
        <v>555</v>
      </c>
      <c r="C421" t="s">
        <v>976</v>
      </c>
    </row>
    <row r="422" spans="1:3">
      <c r="A422" t="s">
        <v>432</v>
      </c>
      <c r="B422" t="s">
        <v>557</v>
      </c>
      <c r="C422" t="s">
        <v>977</v>
      </c>
    </row>
    <row r="423" spans="1:3">
      <c r="A423" t="s">
        <v>432</v>
      </c>
      <c r="B423" t="s">
        <v>559</v>
      </c>
      <c r="C423" t="s">
        <v>978</v>
      </c>
    </row>
    <row r="424" spans="1:3">
      <c r="A424" t="s">
        <v>432</v>
      </c>
      <c r="B424" t="s">
        <v>561</v>
      </c>
      <c r="C424" t="s">
        <v>979</v>
      </c>
    </row>
    <row r="425" spans="1:3">
      <c r="A425" t="s">
        <v>432</v>
      </c>
      <c r="B425" t="s">
        <v>563</v>
      </c>
      <c r="C425" t="s">
        <v>980</v>
      </c>
    </row>
    <row r="426" spans="1:3">
      <c r="A426" t="s">
        <v>433</v>
      </c>
      <c r="B426" t="s">
        <v>549</v>
      </c>
      <c r="C426" t="s">
        <v>981</v>
      </c>
    </row>
    <row r="427" spans="1:3">
      <c r="A427" t="s">
        <v>433</v>
      </c>
      <c r="B427" t="s">
        <v>551</v>
      </c>
      <c r="C427" t="s">
        <v>982</v>
      </c>
    </row>
    <row r="428" spans="1:3">
      <c r="A428" t="s">
        <v>433</v>
      </c>
      <c r="B428" t="s">
        <v>553</v>
      </c>
      <c r="C428" t="s">
        <v>983</v>
      </c>
    </row>
    <row r="429" spans="1:3">
      <c r="A429" t="s">
        <v>433</v>
      </c>
      <c r="B429" t="s">
        <v>555</v>
      </c>
      <c r="C429" t="s">
        <v>984</v>
      </c>
    </row>
    <row r="430" spans="1:3">
      <c r="A430" t="s">
        <v>433</v>
      </c>
      <c r="B430" t="s">
        <v>557</v>
      </c>
      <c r="C430" t="s">
        <v>985</v>
      </c>
    </row>
    <row r="431" spans="1:3">
      <c r="A431" t="s">
        <v>433</v>
      </c>
      <c r="B431" t="s">
        <v>559</v>
      </c>
      <c r="C431" t="s">
        <v>986</v>
      </c>
    </row>
    <row r="432" spans="1:3">
      <c r="A432" t="s">
        <v>433</v>
      </c>
      <c r="B432" t="s">
        <v>561</v>
      </c>
      <c r="C432" t="s">
        <v>987</v>
      </c>
    </row>
    <row r="433" spans="1:3">
      <c r="A433" t="s">
        <v>433</v>
      </c>
      <c r="B433" t="s">
        <v>563</v>
      </c>
      <c r="C433" t="s">
        <v>988</v>
      </c>
    </row>
    <row r="434" spans="1:3">
      <c r="A434" t="s">
        <v>434</v>
      </c>
      <c r="B434" t="s">
        <v>549</v>
      </c>
      <c r="C434" t="s">
        <v>989</v>
      </c>
    </row>
    <row r="435" spans="1:3">
      <c r="A435" t="s">
        <v>434</v>
      </c>
      <c r="B435" t="s">
        <v>551</v>
      </c>
      <c r="C435" t="s">
        <v>990</v>
      </c>
    </row>
    <row r="436" spans="1:3">
      <c r="A436" t="s">
        <v>434</v>
      </c>
      <c r="B436" t="s">
        <v>553</v>
      </c>
      <c r="C436" t="s">
        <v>991</v>
      </c>
    </row>
    <row r="437" spans="1:3">
      <c r="A437" t="s">
        <v>434</v>
      </c>
      <c r="B437" t="s">
        <v>555</v>
      </c>
      <c r="C437" t="s">
        <v>992</v>
      </c>
    </row>
    <row r="438" spans="1:3">
      <c r="A438" t="s">
        <v>434</v>
      </c>
      <c r="B438" t="s">
        <v>557</v>
      </c>
      <c r="C438" t="s">
        <v>993</v>
      </c>
    </row>
    <row r="439" spans="1:3">
      <c r="A439" t="s">
        <v>434</v>
      </c>
      <c r="B439" t="s">
        <v>559</v>
      </c>
      <c r="C439" t="s">
        <v>994</v>
      </c>
    </row>
    <row r="440" spans="1:3">
      <c r="A440" t="s">
        <v>434</v>
      </c>
      <c r="B440" t="s">
        <v>561</v>
      </c>
      <c r="C440" t="s">
        <v>995</v>
      </c>
    </row>
    <row r="441" spans="1:3">
      <c r="A441" t="s">
        <v>434</v>
      </c>
      <c r="B441" t="s">
        <v>563</v>
      </c>
      <c r="C441" t="s">
        <v>996</v>
      </c>
    </row>
    <row r="442" spans="1:3">
      <c r="A442" t="s">
        <v>435</v>
      </c>
      <c r="B442" t="s">
        <v>549</v>
      </c>
      <c r="C442" t="s">
        <v>997</v>
      </c>
    </row>
    <row r="443" spans="1:3">
      <c r="A443" t="s">
        <v>435</v>
      </c>
      <c r="B443" t="s">
        <v>551</v>
      </c>
      <c r="C443" t="s">
        <v>998</v>
      </c>
    </row>
    <row r="444" spans="1:3">
      <c r="A444" t="s">
        <v>435</v>
      </c>
      <c r="B444" t="s">
        <v>553</v>
      </c>
      <c r="C444" t="s">
        <v>999</v>
      </c>
    </row>
    <row r="445" spans="1:3">
      <c r="A445" t="s">
        <v>435</v>
      </c>
      <c r="B445" t="s">
        <v>555</v>
      </c>
      <c r="C445" t="s">
        <v>1000</v>
      </c>
    </row>
    <row r="446" spans="1:3">
      <c r="A446" t="s">
        <v>435</v>
      </c>
      <c r="B446" t="s">
        <v>557</v>
      </c>
      <c r="C446" t="s">
        <v>1001</v>
      </c>
    </row>
    <row r="447" spans="1:3">
      <c r="A447" t="s">
        <v>435</v>
      </c>
      <c r="B447" t="s">
        <v>559</v>
      </c>
      <c r="C447" t="s">
        <v>1002</v>
      </c>
    </row>
    <row r="448" spans="1:3">
      <c r="A448" t="s">
        <v>435</v>
      </c>
      <c r="B448" t="s">
        <v>561</v>
      </c>
      <c r="C448" t="s">
        <v>1003</v>
      </c>
    </row>
    <row r="449" spans="1:3">
      <c r="A449" t="s">
        <v>435</v>
      </c>
      <c r="B449" t="s">
        <v>563</v>
      </c>
      <c r="C449" t="s">
        <v>1004</v>
      </c>
    </row>
    <row r="450" spans="1:3">
      <c r="A450" t="s">
        <v>436</v>
      </c>
      <c r="B450" t="s">
        <v>549</v>
      </c>
      <c r="C450" t="s">
        <v>1005</v>
      </c>
    </row>
    <row r="451" spans="1:3">
      <c r="A451" t="s">
        <v>436</v>
      </c>
      <c r="B451" t="s">
        <v>551</v>
      </c>
      <c r="C451" t="s">
        <v>1006</v>
      </c>
    </row>
    <row r="452" spans="1:3">
      <c r="A452" t="s">
        <v>436</v>
      </c>
      <c r="B452" t="s">
        <v>553</v>
      </c>
      <c r="C452" t="s">
        <v>1007</v>
      </c>
    </row>
    <row r="453" spans="1:3">
      <c r="A453" t="s">
        <v>436</v>
      </c>
      <c r="B453" t="s">
        <v>555</v>
      </c>
      <c r="C453" t="s">
        <v>1008</v>
      </c>
    </row>
    <row r="454" spans="1:3">
      <c r="A454" t="s">
        <v>436</v>
      </c>
      <c r="B454" t="s">
        <v>557</v>
      </c>
      <c r="C454" t="s">
        <v>1009</v>
      </c>
    </row>
    <row r="455" spans="1:3">
      <c r="A455" t="s">
        <v>436</v>
      </c>
      <c r="B455" t="s">
        <v>559</v>
      </c>
      <c r="C455" t="s">
        <v>1010</v>
      </c>
    </row>
    <row r="456" spans="1:3">
      <c r="A456" t="s">
        <v>436</v>
      </c>
      <c r="B456" t="s">
        <v>561</v>
      </c>
      <c r="C456" t="s">
        <v>1011</v>
      </c>
    </row>
    <row r="457" spans="1:3">
      <c r="A457" t="s">
        <v>436</v>
      </c>
      <c r="B457" t="s">
        <v>563</v>
      </c>
      <c r="C457" t="s">
        <v>1012</v>
      </c>
    </row>
    <row r="458" spans="1:3">
      <c r="A458" t="s">
        <v>437</v>
      </c>
      <c r="B458" t="s">
        <v>549</v>
      </c>
      <c r="C458" t="s">
        <v>1013</v>
      </c>
    </row>
    <row r="459" spans="1:3">
      <c r="A459" t="s">
        <v>437</v>
      </c>
      <c r="B459" t="s">
        <v>551</v>
      </c>
      <c r="C459" t="s">
        <v>1014</v>
      </c>
    </row>
    <row r="460" spans="1:3">
      <c r="A460" t="s">
        <v>437</v>
      </c>
      <c r="B460" t="s">
        <v>553</v>
      </c>
      <c r="C460" t="s">
        <v>1015</v>
      </c>
    </row>
    <row r="461" spans="1:3">
      <c r="A461" t="s">
        <v>437</v>
      </c>
      <c r="B461" t="s">
        <v>555</v>
      </c>
      <c r="C461" t="s">
        <v>1016</v>
      </c>
    </row>
    <row r="462" spans="1:3">
      <c r="A462" t="s">
        <v>437</v>
      </c>
      <c r="B462" t="s">
        <v>557</v>
      </c>
      <c r="C462" t="s">
        <v>1017</v>
      </c>
    </row>
    <row r="463" spans="1:3">
      <c r="A463" t="s">
        <v>437</v>
      </c>
      <c r="B463" t="s">
        <v>559</v>
      </c>
      <c r="C463" t="s">
        <v>1018</v>
      </c>
    </row>
    <row r="464" spans="1:3">
      <c r="A464" t="s">
        <v>437</v>
      </c>
      <c r="B464" t="s">
        <v>561</v>
      </c>
      <c r="C464" t="s">
        <v>1019</v>
      </c>
    </row>
    <row r="465" spans="1:3">
      <c r="A465" t="s">
        <v>437</v>
      </c>
      <c r="B465" t="s">
        <v>563</v>
      </c>
      <c r="C465" t="s">
        <v>1020</v>
      </c>
    </row>
    <row r="466" spans="1:3">
      <c r="A466" t="s">
        <v>438</v>
      </c>
      <c r="B466" t="s">
        <v>549</v>
      </c>
      <c r="C466" t="s">
        <v>1021</v>
      </c>
    </row>
    <row r="467" spans="1:3">
      <c r="A467" t="s">
        <v>438</v>
      </c>
      <c r="B467" t="s">
        <v>551</v>
      </c>
      <c r="C467" t="s">
        <v>1022</v>
      </c>
    </row>
    <row r="468" spans="1:3">
      <c r="A468" t="s">
        <v>438</v>
      </c>
      <c r="B468" t="s">
        <v>553</v>
      </c>
      <c r="C468" t="s">
        <v>1023</v>
      </c>
    </row>
    <row r="469" spans="1:3">
      <c r="A469" t="s">
        <v>438</v>
      </c>
      <c r="B469" t="s">
        <v>555</v>
      </c>
      <c r="C469" t="s">
        <v>1024</v>
      </c>
    </row>
    <row r="470" spans="1:3">
      <c r="A470" t="s">
        <v>438</v>
      </c>
      <c r="B470" t="s">
        <v>557</v>
      </c>
      <c r="C470" t="s">
        <v>1025</v>
      </c>
    </row>
    <row r="471" spans="1:3">
      <c r="A471" t="s">
        <v>438</v>
      </c>
      <c r="B471" t="s">
        <v>559</v>
      </c>
      <c r="C471" t="s">
        <v>1026</v>
      </c>
    </row>
    <row r="472" spans="1:3">
      <c r="A472" t="s">
        <v>438</v>
      </c>
      <c r="B472" t="s">
        <v>561</v>
      </c>
      <c r="C472" t="s">
        <v>1027</v>
      </c>
    </row>
    <row r="473" spans="1:3">
      <c r="A473" t="s">
        <v>438</v>
      </c>
      <c r="B473" t="s">
        <v>563</v>
      </c>
      <c r="C473" t="s">
        <v>1028</v>
      </c>
    </row>
    <row r="474" spans="1:3">
      <c r="A474" t="s">
        <v>439</v>
      </c>
      <c r="B474" t="s">
        <v>549</v>
      </c>
      <c r="C474" t="s">
        <v>1029</v>
      </c>
    </row>
    <row r="475" spans="1:3">
      <c r="A475" t="s">
        <v>439</v>
      </c>
      <c r="B475" t="s">
        <v>551</v>
      </c>
      <c r="C475" t="s">
        <v>1030</v>
      </c>
    </row>
    <row r="476" spans="1:3">
      <c r="A476" t="s">
        <v>439</v>
      </c>
      <c r="B476" t="s">
        <v>553</v>
      </c>
      <c r="C476" t="s">
        <v>1031</v>
      </c>
    </row>
    <row r="477" spans="1:3">
      <c r="A477" t="s">
        <v>439</v>
      </c>
      <c r="B477" t="s">
        <v>555</v>
      </c>
      <c r="C477" t="s">
        <v>1032</v>
      </c>
    </row>
    <row r="478" spans="1:3">
      <c r="A478" t="s">
        <v>439</v>
      </c>
      <c r="B478" t="s">
        <v>557</v>
      </c>
      <c r="C478" t="s">
        <v>1033</v>
      </c>
    </row>
    <row r="479" spans="1:3">
      <c r="A479" t="s">
        <v>439</v>
      </c>
      <c r="B479" t="s">
        <v>559</v>
      </c>
      <c r="C479" t="s">
        <v>1034</v>
      </c>
    </row>
    <row r="480" spans="1:3">
      <c r="A480" t="s">
        <v>439</v>
      </c>
      <c r="B480" t="s">
        <v>561</v>
      </c>
      <c r="C480" t="s">
        <v>1035</v>
      </c>
    </row>
    <row r="481" spans="1:3">
      <c r="A481" t="s">
        <v>439</v>
      </c>
      <c r="B481" t="s">
        <v>563</v>
      </c>
      <c r="C481" t="s">
        <v>1036</v>
      </c>
    </row>
    <row r="482" spans="1:3">
      <c r="A482" t="s">
        <v>440</v>
      </c>
      <c r="B482" t="s">
        <v>549</v>
      </c>
      <c r="C482" t="s">
        <v>1037</v>
      </c>
    </row>
    <row r="483" spans="1:3">
      <c r="A483" t="s">
        <v>440</v>
      </c>
      <c r="B483" t="s">
        <v>551</v>
      </c>
      <c r="C483" t="s">
        <v>1038</v>
      </c>
    </row>
    <row r="484" spans="1:3">
      <c r="A484" t="s">
        <v>440</v>
      </c>
      <c r="B484" t="s">
        <v>553</v>
      </c>
      <c r="C484" t="s">
        <v>1039</v>
      </c>
    </row>
    <row r="485" spans="1:3">
      <c r="A485" t="s">
        <v>440</v>
      </c>
      <c r="B485" t="s">
        <v>555</v>
      </c>
      <c r="C485" t="s">
        <v>1040</v>
      </c>
    </row>
    <row r="486" spans="1:3">
      <c r="A486" t="s">
        <v>440</v>
      </c>
      <c r="B486" t="s">
        <v>557</v>
      </c>
      <c r="C486" t="s">
        <v>1041</v>
      </c>
    </row>
    <row r="487" spans="1:3">
      <c r="A487" t="s">
        <v>440</v>
      </c>
      <c r="B487" t="s">
        <v>559</v>
      </c>
      <c r="C487" t="s">
        <v>1042</v>
      </c>
    </row>
    <row r="488" spans="1:3">
      <c r="A488" t="s">
        <v>440</v>
      </c>
      <c r="B488" t="s">
        <v>561</v>
      </c>
      <c r="C488" t="s">
        <v>1043</v>
      </c>
    </row>
    <row r="489" spans="1:3">
      <c r="A489" t="s">
        <v>440</v>
      </c>
      <c r="B489" t="s">
        <v>563</v>
      </c>
      <c r="C489" t="s">
        <v>1044</v>
      </c>
    </row>
    <row r="490" spans="1:3">
      <c r="A490" t="s">
        <v>441</v>
      </c>
      <c r="B490" t="s">
        <v>549</v>
      </c>
      <c r="C490" t="s">
        <v>1045</v>
      </c>
    </row>
    <row r="491" spans="1:3">
      <c r="A491" t="s">
        <v>441</v>
      </c>
      <c r="B491" t="s">
        <v>551</v>
      </c>
      <c r="C491" t="s">
        <v>1046</v>
      </c>
    </row>
    <row r="492" spans="1:3">
      <c r="A492" t="s">
        <v>441</v>
      </c>
      <c r="B492" t="s">
        <v>553</v>
      </c>
      <c r="C492" t="s">
        <v>1047</v>
      </c>
    </row>
    <row r="493" spans="1:3">
      <c r="A493" t="s">
        <v>441</v>
      </c>
      <c r="B493" t="s">
        <v>555</v>
      </c>
      <c r="C493" t="s">
        <v>1048</v>
      </c>
    </row>
    <row r="494" spans="1:3">
      <c r="A494" t="s">
        <v>441</v>
      </c>
      <c r="B494" t="s">
        <v>557</v>
      </c>
      <c r="C494" t="s">
        <v>1049</v>
      </c>
    </row>
    <row r="495" spans="1:3">
      <c r="A495" t="s">
        <v>441</v>
      </c>
      <c r="B495" t="s">
        <v>559</v>
      </c>
      <c r="C495" t="s">
        <v>1050</v>
      </c>
    </row>
    <row r="496" spans="1:3">
      <c r="A496" t="s">
        <v>441</v>
      </c>
      <c r="B496" t="s">
        <v>561</v>
      </c>
      <c r="C496" t="s">
        <v>1051</v>
      </c>
    </row>
    <row r="497" spans="1:3">
      <c r="A497" t="s">
        <v>441</v>
      </c>
      <c r="B497" t="s">
        <v>563</v>
      </c>
      <c r="C497" t="s">
        <v>1052</v>
      </c>
    </row>
    <row r="498" spans="1:3">
      <c r="A498" t="s">
        <v>442</v>
      </c>
      <c r="B498" t="s">
        <v>549</v>
      </c>
      <c r="C498" t="s">
        <v>1053</v>
      </c>
    </row>
    <row r="499" spans="1:3">
      <c r="A499" t="s">
        <v>442</v>
      </c>
      <c r="B499" t="s">
        <v>551</v>
      </c>
      <c r="C499" t="s">
        <v>1054</v>
      </c>
    </row>
    <row r="500" spans="1:3">
      <c r="A500" t="s">
        <v>442</v>
      </c>
      <c r="B500" t="s">
        <v>553</v>
      </c>
      <c r="C500" t="s">
        <v>1055</v>
      </c>
    </row>
    <row r="501" spans="1:3">
      <c r="A501" t="s">
        <v>442</v>
      </c>
      <c r="B501" t="s">
        <v>555</v>
      </c>
      <c r="C501" t="s">
        <v>1056</v>
      </c>
    </row>
    <row r="502" spans="1:3">
      <c r="A502" t="s">
        <v>442</v>
      </c>
      <c r="B502" t="s">
        <v>557</v>
      </c>
      <c r="C502" t="s">
        <v>1057</v>
      </c>
    </row>
    <row r="503" spans="1:3">
      <c r="A503" t="s">
        <v>442</v>
      </c>
      <c r="B503" t="s">
        <v>559</v>
      </c>
      <c r="C503" t="s">
        <v>1058</v>
      </c>
    </row>
    <row r="504" spans="1:3">
      <c r="A504" t="s">
        <v>442</v>
      </c>
      <c r="B504" t="s">
        <v>561</v>
      </c>
      <c r="C504" t="s">
        <v>1059</v>
      </c>
    </row>
    <row r="505" spans="1:3">
      <c r="A505" t="s">
        <v>442</v>
      </c>
      <c r="B505" t="s">
        <v>563</v>
      </c>
      <c r="C505" t="s">
        <v>1060</v>
      </c>
    </row>
    <row r="506" spans="1:3">
      <c r="A506" t="s">
        <v>443</v>
      </c>
      <c r="B506" t="s">
        <v>549</v>
      </c>
      <c r="C506" t="s">
        <v>1061</v>
      </c>
    </row>
    <row r="507" spans="1:3">
      <c r="A507" t="s">
        <v>443</v>
      </c>
      <c r="B507" t="s">
        <v>551</v>
      </c>
      <c r="C507" t="s">
        <v>1062</v>
      </c>
    </row>
    <row r="508" spans="1:3">
      <c r="A508" t="s">
        <v>443</v>
      </c>
      <c r="B508" t="s">
        <v>553</v>
      </c>
      <c r="C508" t="s">
        <v>1063</v>
      </c>
    </row>
    <row r="509" spans="1:3">
      <c r="A509" t="s">
        <v>443</v>
      </c>
      <c r="B509" t="s">
        <v>555</v>
      </c>
      <c r="C509" t="s">
        <v>1064</v>
      </c>
    </row>
    <row r="510" spans="1:3">
      <c r="A510" t="s">
        <v>443</v>
      </c>
      <c r="B510" t="s">
        <v>557</v>
      </c>
      <c r="C510" t="s">
        <v>1065</v>
      </c>
    </row>
    <row r="511" spans="1:3">
      <c r="A511" t="s">
        <v>443</v>
      </c>
      <c r="B511" t="s">
        <v>559</v>
      </c>
      <c r="C511" t="s">
        <v>1066</v>
      </c>
    </row>
    <row r="512" spans="1:3">
      <c r="A512" t="s">
        <v>443</v>
      </c>
      <c r="B512" t="s">
        <v>561</v>
      </c>
      <c r="C512" t="s">
        <v>1067</v>
      </c>
    </row>
    <row r="513" spans="1:3">
      <c r="A513" t="s">
        <v>443</v>
      </c>
      <c r="B513" t="s">
        <v>563</v>
      </c>
      <c r="C513" t="s">
        <v>1068</v>
      </c>
    </row>
    <row r="514" spans="1:3">
      <c r="A514" t="s">
        <v>444</v>
      </c>
      <c r="B514" t="s">
        <v>549</v>
      </c>
      <c r="C514" t="s">
        <v>1069</v>
      </c>
    </row>
    <row r="515" spans="1:3">
      <c r="A515" t="s">
        <v>444</v>
      </c>
      <c r="B515" t="s">
        <v>551</v>
      </c>
      <c r="C515" t="s">
        <v>1070</v>
      </c>
    </row>
    <row r="516" spans="1:3">
      <c r="A516" t="s">
        <v>444</v>
      </c>
      <c r="B516" t="s">
        <v>553</v>
      </c>
      <c r="C516" t="s">
        <v>1071</v>
      </c>
    </row>
    <row r="517" spans="1:3">
      <c r="A517" t="s">
        <v>444</v>
      </c>
      <c r="B517" t="s">
        <v>555</v>
      </c>
      <c r="C517" t="s">
        <v>1072</v>
      </c>
    </row>
    <row r="518" spans="1:3">
      <c r="A518" t="s">
        <v>444</v>
      </c>
      <c r="B518" t="s">
        <v>557</v>
      </c>
      <c r="C518" t="s">
        <v>1073</v>
      </c>
    </row>
    <row r="519" spans="1:3">
      <c r="A519" t="s">
        <v>444</v>
      </c>
      <c r="B519" t="s">
        <v>559</v>
      </c>
      <c r="C519" t="s">
        <v>1074</v>
      </c>
    </row>
    <row r="520" spans="1:3">
      <c r="A520" t="s">
        <v>444</v>
      </c>
      <c r="B520" t="s">
        <v>561</v>
      </c>
      <c r="C520" t="s">
        <v>1075</v>
      </c>
    </row>
    <row r="521" spans="1:3">
      <c r="A521" t="s">
        <v>444</v>
      </c>
      <c r="B521" t="s">
        <v>563</v>
      </c>
      <c r="C521" t="s">
        <v>1076</v>
      </c>
    </row>
    <row r="522" spans="1:3">
      <c r="A522" t="s">
        <v>445</v>
      </c>
      <c r="B522" t="s">
        <v>549</v>
      </c>
      <c r="C522" t="s">
        <v>1077</v>
      </c>
    </row>
    <row r="523" spans="1:3">
      <c r="A523" t="s">
        <v>445</v>
      </c>
      <c r="B523" t="s">
        <v>551</v>
      </c>
      <c r="C523" t="s">
        <v>1078</v>
      </c>
    </row>
    <row r="524" spans="1:3">
      <c r="A524" t="s">
        <v>445</v>
      </c>
      <c r="B524" t="s">
        <v>553</v>
      </c>
      <c r="C524" t="s">
        <v>1079</v>
      </c>
    </row>
    <row r="525" spans="1:3">
      <c r="A525" t="s">
        <v>445</v>
      </c>
      <c r="B525" t="s">
        <v>555</v>
      </c>
      <c r="C525" t="s">
        <v>1080</v>
      </c>
    </row>
    <row r="526" spans="1:3">
      <c r="A526" t="s">
        <v>445</v>
      </c>
      <c r="B526" t="s">
        <v>557</v>
      </c>
      <c r="C526" t="s">
        <v>1081</v>
      </c>
    </row>
    <row r="527" spans="1:3">
      <c r="A527" t="s">
        <v>445</v>
      </c>
      <c r="B527" t="s">
        <v>559</v>
      </c>
      <c r="C527" t="s">
        <v>1082</v>
      </c>
    </row>
    <row r="528" spans="1:3">
      <c r="A528" t="s">
        <v>445</v>
      </c>
      <c r="B528" t="s">
        <v>561</v>
      </c>
      <c r="C528" t="s">
        <v>1083</v>
      </c>
    </row>
    <row r="529" spans="1:3">
      <c r="A529" t="s">
        <v>445</v>
      </c>
      <c r="B529" t="s">
        <v>563</v>
      </c>
      <c r="C529" t="s">
        <v>1084</v>
      </c>
    </row>
    <row r="530" spans="1:3">
      <c r="A530" t="s">
        <v>446</v>
      </c>
      <c r="B530" t="s">
        <v>549</v>
      </c>
      <c r="C530" t="s">
        <v>1085</v>
      </c>
    </row>
    <row r="531" spans="1:3">
      <c r="A531" t="s">
        <v>446</v>
      </c>
      <c r="B531" t="s">
        <v>551</v>
      </c>
      <c r="C531" t="s">
        <v>1086</v>
      </c>
    </row>
    <row r="532" spans="1:3">
      <c r="A532" t="s">
        <v>446</v>
      </c>
      <c r="B532" t="s">
        <v>553</v>
      </c>
      <c r="C532" t="s">
        <v>1087</v>
      </c>
    </row>
    <row r="533" spans="1:3">
      <c r="A533" t="s">
        <v>446</v>
      </c>
      <c r="B533" t="s">
        <v>555</v>
      </c>
      <c r="C533" t="s">
        <v>1088</v>
      </c>
    </row>
    <row r="534" spans="1:3">
      <c r="A534" t="s">
        <v>446</v>
      </c>
      <c r="B534" t="s">
        <v>557</v>
      </c>
      <c r="C534" t="s">
        <v>1089</v>
      </c>
    </row>
    <row r="535" spans="1:3">
      <c r="A535" t="s">
        <v>446</v>
      </c>
      <c r="B535" t="s">
        <v>559</v>
      </c>
      <c r="C535" t="s">
        <v>1090</v>
      </c>
    </row>
    <row r="536" spans="1:3">
      <c r="A536" t="s">
        <v>446</v>
      </c>
      <c r="B536" t="s">
        <v>561</v>
      </c>
      <c r="C536" t="s">
        <v>1091</v>
      </c>
    </row>
    <row r="537" spans="1:3">
      <c r="A537" t="s">
        <v>446</v>
      </c>
      <c r="B537" t="s">
        <v>563</v>
      </c>
      <c r="C537" t="s">
        <v>1092</v>
      </c>
    </row>
    <row r="538" spans="1:3">
      <c r="A538" t="s">
        <v>447</v>
      </c>
      <c r="B538" t="s">
        <v>549</v>
      </c>
      <c r="C538" t="s">
        <v>1093</v>
      </c>
    </row>
    <row r="539" spans="1:3">
      <c r="A539" t="s">
        <v>447</v>
      </c>
      <c r="B539" t="s">
        <v>551</v>
      </c>
      <c r="C539" t="s">
        <v>1094</v>
      </c>
    </row>
    <row r="540" spans="1:3">
      <c r="A540" t="s">
        <v>447</v>
      </c>
      <c r="B540" t="s">
        <v>553</v>
      </c>
      <c r="C540" t="s">
        <v>1095</v>
      </c>
    </row>
    <row r="541" spans="1:3">
      <c r="A541" t="s">
        <v>447</v>
      </c>
      <c r="B541" t="s">
        <v>555</v>
      </c>
      <c r="C541" t="s">
        <v>1096</v>
      </c>
    </row>
    <row r="542" spans="1:3">
      <c r="A542" t="s">
        <v>447</v>
      </c>
      <c r="B542" t="s">
        <v>557</v>
      </c>
      <c r="C542" t="s">
        <v>1097</v>
      </c>
    </row>
    <row r="543" spans="1:3">
      <c r="A543" t="s">
        <v>447</v>
      </c>
      <c r="B543" t="s">
        <v>559</v>
      </c>
      <c r="C543" t="s">
        <v>1098</v>
      </c>
    </row>
    <row r="544" spans="1:3">
      <c r="A544" t="s">
        <v>447</v>
      </c>
      <c r="B544" t="s">
        <v>561</v>
      </c>
      <c r="C544" t="s">
        <v>1099</v>
      </c>
    </row>
    <row r="545" spans="1:3">
      <c r="A545" t="s">
        <v>447</v>
      </c>
      <c r="B545" t="s">
        <v>563</v>
      </c>
      <c r="C545" t="s">
        <v>1100</v>
      </c>
    </row>
    <row r="546" spans="1:3">
      <c r="A546" t="s">
        <v>448</v>
      </c>
      <c r="B546" t="s">
        <v>549</v>
      </c>
      <c r="C546" t="s">
        <v>1101</v>
      </c>
    </row>
    <row r="547" spans="1:3">
      <c r="A547" t="s">
        <v>448</v>
      </c>
      <c r="B547" t="s">
        <v>551</v>
      </c>
      <c r="C547" t="s">
        <v>1102</v>
      </c>
    </row>
    <row r="548" spans="1:3">
      <c r="A548" t="s">
        <v>448</v>
      </c>
      <c r="B548" t="s">
        <v>553</v>
      </c>
      <c r="C548" t="s">
        <v>1103</v>
      </c>
    </row>
    <row r="549" spans="1:3">
      <c r="A549" t="s">
        <v>448</v>
      </c>
      <c r="B549" t="s">
        <v>555</v>
      </c>
      <c r="C549" t="s">
        <v>1104</v>
      </c>
    </row>
    <row r="550" spans="1:3">
      <c r="A550" t="s">
        <v>448</v>
      </c>
      <c r="B550" t="s">
        <v>557</v>
      </c>
      <c r="C550" t="s">
        <v>1105</v>
      </c>
    </row>
    <row r="551" spans="1:3">
      <c r="A551" t="s">
        <v>448</v>
      </c>
      <c r="B551" t="s">
        <v>559</v>
      </c>
      <c r="C551" t="s">
        <v>1106</v>
      </c>
    </row>
    <row r="552" spans="1:3">
      <c r="A552" t="s">
        <v>448</v>
      </c>
      <c r="B552" t="s">
        <v>561</v>
      </c>
      <c r="C552" t="s">
        <v>1107</v>
      </c>
    </row>
    <row r="553" spans="1:3">
      <c r="A553" t="s">
        <v>448</v>
      </c>
      <c r="B553" t="s">
        <v>563</v>
      </c>
      <c r="C553" t="s">
        <v>1108</v>
      </c>
    </row>
    <row r="554" spans="1:3">
      <c r="A554" t="s">
        <v>449</v>
      </c>
      <c r="B554" t="s">
        <v>549</v>
      </c>
      <c r="C554" t="s">
        <v>1109</v>
      </c>
    </row>
    <row r="555" spans="1:3">
      <c r="A555" t="s">
        <v>449</v>
      </c>
      <c r="B555" t="s">
        <v>551</v>
      </c>
      <c r="C555" t="s">
        <v>1110</v>
      </c>
    </row>
    <row r="556" spans="1:3">
      <c r="A556" t="s">
        <v>449</v>
      </c>
      <c r="B556" t="s">
        <v>553</v>
      </c>
      <c r="C556" t="s">
        <v>1111</v>
      </c>
    </row>
    <row r="557" spans="1:3">
      <c r="A557" t="s">
        <v>449</v>
      </c>
      <c r="B557" t="s">
        <v>555</v>
      </c>
      <c r="C557" t="s">
        <v>1112</v>
      </c>
    </row>
    <row r="558" spans="1:3">
      <c r="A558" t="s">
        <v>449</v>
      </c>
      <c r="B558" t="s">
        <v>557</v>
      </c>
      <c r="C558" t="s">
        <v>1113</v>
      </c>
    </row>
    <row r="559" spans="1:3">
      <c r="A559" t="s">
        <v>449</v>
      </c>
      <c r="B559" t="s">
        <v>559</v>
      </c>
      <c r="C559" t="s">
        <v>1114</v>
      </c>
    </row>
    <row r="560" spans="1:3">
      <c r="A560" t="s">
        <v>449</v>
      </c>
      <c r="B560" t="s">
        <v>561</v>
      </c>
      <c r="C560" t="s">
        <v>1115</v>
      </c>
    </row>
    <row r="561" spans="1:3">
      <c r="A561" t="s">
        <v>449</v>
      </c>
      <c r="B561" t="s">
        <v>563</v>
      </c>
      <c r="C561" t="s">
        <v>1116</v>
      </c>
    </row>
    <row r="562" spans="1:3">
      <c r="A562" t="s">
        <v>450</v>
      </c>
      <c r="B562" t="s">
        <v>549</v>
      </c>
      <c r="C562" t="s">
        <v>1117</v>
      </c>
    </row>
    <row r="563" spans="1:3">
      <c r="A563" t="s">
        <v>450</v>
      </c>
      <c r="B563" t="s">
        <v>551</v>
      </c>
      <c r="C563" t="s">
        <v>1118</v>
      </c>
    </row>
    <row r="564" spans="1:3">
      <c r="A564" t="s">
        <v>450</v>
      </c>
      <c r="B564" t="s">
        <v>553</v>
      </c>
      <c r="C564" t="s">
        <v>1119</v>
      </c>
    </row>
    <row r="565" spans="1:3">
      <c r="A565" t="s">
        <v>450</v>
      </c>
      <c r="B565" t="s">
        <v>555</v>
      </c>
      <c r="C565" t="s">
        <v>1120</v>
      </c>
    </row>
    <row r="566" spans="1:3">
      <c r="A566" t="s">
        <v>450</v>
      </c>
      <c r="B566" t="s">
        <v>557</v>
      </c>
      <c r="C566" t="s">
        <v>1121</v>
      </c>
    </row>
    <row r="567" spans="1:3">
      <c r="A567" t="s">
        <v>450</v>
      </c>
      <c r="B567" t="s">
        <v>559</v>
      </c>
      <c r="C567" t="s">
        <v>1122</v>
      </c>
    </row>
    <row r="568" spans="1:3">
      <c r="A568" t="s">
        <v>450</v>
      </c>
      <c r="B568" t="s">
        <v>561</v>
      </c>
      <c r="C568" t="s">
        <v>1123</v>
      </c>
    </row>
    <row r="569" spans="1:3">
      <c r="A569" t="s">
        <v>450</v>
      </c>
      <c r="B569" t="s">
        <v>563</v>
      </c>
      <c r="C569" t="s">
        <v>1124</v>
      </c>
    </row>
    <row r="570" spans="1:3">
      <c r="A570" t="s">
        <v>451</v>
      </c>
      <c r="B570" t="s">
        <v>549</v>
      </c>
      <c r="C570" t="s">
        <v>1125</v>
      </c>
    </row>
    <row r="571" spans="1:3">
      <c r="A571" t="s">
        <v>451</v>
      </c>
      <c r="B571" t="s">
        <v>551</v>
      </c>
      <c r="C571" t="s">
        <v>1126</v>
      </c>
    </row>
    <row r="572" spans="1:3">
      <c r="A572" t="s">
        <v>451</v>
      </c>
      <c r="B572" t="s">
        <v>553</v>
      </c>
      <c r="C572" t="s">
        <v>1127</v>
      </c>
    </row>
    <row r="573" spans="1:3">
      <c r="A573" t="s">
        <v>451</v>
      </c>
      <c r="B573" t="s">
        <v>555</v>
      </c>
      <c r="C573" t="s">
        <v>1128</v>
      </c>
    </row>
    <row r="574" spans="1:3">
      <c r="A574" t="s">
        <v>451</v>
      </c>
      <c r="B574" t="s">
        <v>557</v>
      </c>
      <c r="C574" t="s">
        <v>1129</v>
      </c>
    </row>
    <row r="575" spans="1:3">
      <c r="A575" t="s">
        <v>451</v>
      </c>
      <c r="B575" t="s">
        <v>559</v>
      </c>
      <c r="C575" t="s">
        <v>1130</v>
      </c>
    </row>
    <row r="576" spans="1:3">
      <c r="A576" t="s">
        <v>451</v>
      </c>
      <c r="B576" t="s">
        <v>561</v>
      </c>
      <c r="C576" t="s">
        <v>1131</v>
      </c>
    </row>
    <row r="577" spans="1:3">
      <c r="A577" t="s">
        <v>451</v>
      </c>
      <c r="B577" t="s">
        <v>563</v>
      </c>
      <c r="C577" t="s">
        <v>1132</v>
      </c>
    </row>
    <row r="578" spans="1:3">
      <c r="A578" t="s">
        <v>452</v>
      </c>
      <c r="B578" t="s">
        <v>549</v>
      </c>
      <c r="C578" t="s">
        <v>1133</v>
      </c>
    </row>
    <row r="579" spans="1:3">
      <c r="A579" t="s">
        <v>452</v>
      </c>
      <c r="B579" t="s">
        <v>551</v>
      </c>
      <c r="C579" t="s">
        <v>1134</v>
      </c>
    </row>
    <row r="580" spans="1:3">
      <c r="A580" t="s">
        <v>452</v>
      </c>
      <c r="B580" t="s">
        <v>553</v>
      </c>
      <c r="C580" t="s">
        <v>1135</v>
      </c>
    </row>
    <row r="581" spans="1:3">
      <c r="A581" t="s">
        <v>452</v>
      </c>
      <c r="B581" t="s">
        <v>555</v>
      </c>
      <c r="C581" t="s">
        <v>1136</v>
      </c>
    </row>
    <row r="582" spans="1:3">
      <c r="A582" t="s">
        <v>452</v>
      </c>
      <c r="B582" t="s">
        <v>557</v>
      </c>
      <c r="C582" t="s">
        <v>1137</v>
      </c>
    </row>
    <row r="583" spans="1:3">
      <c r="A583" t="s">
        <v>452</v>
      </c>
      <c r="B583" t="s">
        <v>559</v>
      </c>
      <c r="C583" t="s">
        <v>1138</v>
      </c>
    </row>
    <row r="584" spans="1:3">
      <c r="A584" t="s">
        <v>452</v>
      </c>
      <c r="B584" t="s">
        <v>561</v>
      </c>
      <c r="C584" t="s">
        <v>1139</v>
      </c>
    </row>
    <row r="585" spans="1:3">
      <c r="A585" t="s">
        <v>452</v>
      </c>
      <c r="B585" t="s">
        <v>563</v>
      </c>
      <c r="C585" t="s">
        <v>1140</v>
      </c>
    </row>
    <row r="586" spans="1:3">
      <c r="A586" t="s">
        <v>453</v>
      </c>
      <c r="B586" t="s">
        <v>549</v>
      </c>
      <c r="C586" t="s">
        <v>1141</v>
      </c>
    </row>
    <row r="587" spans="1:3">
      <c r="A587" t="s">
        <v>453</v>
      </c>
      <c r="B587" t="s">
        <v>551</v>
      </c>
      <c r="C587" t="s">
        <v>1142</v>
      </c>
    </row>
    <row r="588" spans="1:3">
      <c r="A588" t="s">
        <v>453</v>
      </c>
      <c r="B588" t="s">
        <v>553</v>
      </c>
      <c r="C588" t="s">
        <v>1143</v>
      </c>
    </row>
    <row r="589" spans="1:3">
      <c r="A589" t="s">
        <v>453</v>
      </c>
      <c r="B589" t="s">
        <v>555</v>
      </c>
      <c r="C589" t="s">
        <v>1144</v>
      </c>
    </row>
    <row r="590" spans="1:3">
      <c r="A590" t="s">
        <v>453</v>
      </c>
      <c r="B590" t="s">
        <v>557</v>
      </c>
      <c r="C590" t="s">
        <v>1145</v>
      </c>
    </row>
    <row r="591" spans="1:3">
      <c r="A591" t="s">
        <v>453</v>
      </c>
      <c r="B591" t="s">
        <v>559</v>
      </c>
      <c r="C591" t="s">
        <v>1146</v>
      </c>
    </row>
    <row r="592" spans="1:3">
      <c r="A592" t="s">
        <v>453</v>
      </c>
      <c r="B592" t="s">
        <v>561</v>
      </c>
      <c r="C592" t="s">
        <v>1147</v>
      </c>
    </row>
    <row r="593" spans="1:3">
      <c r="A593" t="s">
        <v>453</v>
      </c>
      <c r="B593" t="s">
        <v>563</v>
      </c>
      <c r="C593" t="s">
        <v>1148</v>
      </c>
    </row>
    <row r="594" spans="1:3">
      <c r="A594" t="s">
        <v>454</v>
      </c>
      <c r="B594" t="s">
        <v>549</v>
      </c>
      <c r="C594" t="s">
        <v>1149</v>
      </c>
    </row>
    <row r="595" spans="1:3">
      <c r="A595" t="s">
        <v>454</v>
      </c>
      <c r="B595" t="s">
        <v>551</v>
      </c>
      <c r="C595" t="s">
        <v>1150</v>
      </c>
    </row>
    <row r="596" spans="1:3">
      <c r="A596" t="s">
        <v>454</v>
      </c>
      <c r="B596" t="s">
        <v>553</v>
      </c>
      <c r="C596" t="s">
        <v>1151</v>
      </c>
    </row>
    <row r="597" spans="1:3">
      <c r="A597" t="s">
        <v>454</v>
      </c>
      <c r="B597" t="s">
        <v>555</v>
      </c>
      <c r="C597" t="s">
        <v>1152</v>
      </c>
    </row>
    <row r="598" spans="1:3">
      <c r="A598" t="s">
        <v>454</v>
      </c>
      <c r="B598" t="s">
        <v>557</v>
      </c>
      <c r="C598" t="s">
        <v>1153</v>
      </c>
    </row>
    <row r="599" spans="1:3">
      <c r="A599" t="s">
        <v>454</v>
      </c>
      <c r="B599" t="s">
        <v>559</v>
      </c>
      <c r="C599" t="s">
        <v>1154</v>
      </c>
    </row>
    <row r="600" spans="1:3">
      <c r="A600" t="s">
        <v>454</v>
      </c>
      <c r="B600" t="s">
        <v>561</v>
      </c>
      <c r="C600" t="s">
        <v>1155</v>
      </c>
    </row>
    <row r="601" spans="1:3">
      <c r="A601" t="s">
        <v>454</v>
      </c>
      <c r="B601" t="s">
        <v>563</v>
      </c>
      <c r="C601" t="s">
        <v>1156</v>
      </c>
    </row>
    <row r="602" spans="1:3">
      <c r="A602" t="s">
        <v>455</v>
      </c>
      <c r="B602" t="s">
        <v>549</v>
      </c>
      <c r="C602" t="s">
        <v>1157</v>
      </c>
    </row>
    <row r="603" spans="1:3">
      <c r="A603" t="s">
        <v>455</v>
      </c>
      <c r="B603" t="s">
        <v>551</v>
      </c>
      <c r="C603" t="s">
        <v>1158</v>
      </c>
    </row>
    <row r="604" spans="1:3">
      <c r="A604" t="s">
        <v>455</v>
      </c>
      <c r="B604" t="s">
        <v>553</v>
      </c>
      <c r="C604" t="s">
        <v>1159</v>
      </c>
    </row>
    <row r="605" spans="1:3">
      <c r="A605" t="s">
        <v>455</v>
      </c>
      <c r="B605" t="s">
        <v>555</v>
      </c>
      <c r="C605" t="s">
        <v>1160</v>
      </c>
    </row>
    <row r="606" spans="1:3">
      <c r="A606" t="s">
        <v>455</v>
      </c>
      <c r="B606" t="s">
        <v>557</v>
      </c>
      <c r="C606" t="s">
        <v>1161</v>
      </c>
    </row>
    <row r="607" spans="1:3">
      <c r="A607" t="s">
        <v>455</v>
      </c>
      <c r="B607" t="s">
        <v>559</v>
      </c>
      <c r="C607" t="s">
        <v>1162</v>
      </c>
    </row>
    <row r="608" spans="1:3">
      <c r="A608" t="s">
        <v>455</v>
      </c>
      <c r="B608" t="s">
        <v>561</v>
      </c>
      <c r="C608" t="s">
        <v>1163</v>
      </c>
    </row>
    <row r="609" spans="1:3">
      <c r="A609" t="s">
        <v>455</v>
      </c>
      <c r="B609" t="s">
        <v>563</v>
      </c>
      <c r="C609" t="s">
        <v>1164</v>
      </c>
    </row>
    <row r="610" spans="1:3">
      <c r="A610" t="s">
        <v>456</v>
      </c>
      <c r="B610" t="s">
        <v>549</v>
      </c>
      <c r="C610" t="s">
        <v>1165</v>
      </c>
    </row>
    <row r="611" spans="1:3">
      <c r="A611" t="s">
        <v>456</v>
      </c>
      <c r="B611" t="s">
        <v>551</v>
      </c>
      <c r="C611" t="s">
        <v>1166</v>
      </c>
    </row>
    <row r="612" spans="1:3">
      <c r="A612" t="s">
        <v>456</v>
      </c>
      <c r="B612" t="s">
        <v>553</v>
      </c>
      <c r="C612" t="s">
        <v>1167</v>
      </c>
    </row>
    <row r="613" spans="1:3">
      <c r="A613" t="s">
        <v>456</v>
      </c>
      <c r="B613" t="s">
        <v>555</v>
      </c>
      <c r="C613" t="s">
        <v>1168</v>
      </c>
    </row>
    <row r="614" spans="1:3">
      <c r="A614" t="s">
        <v>456</v>
      </c>
      <c r="B614" t="s">
        <v>557</v>
      </c>
      <c r="C614" t="s">
        <v>1169</v>
      </c>
    </row>
    <row r="615" spans="1:3">
      <c r="A615" t="s">
        <v>456</v>
      </c>
      <c r="B615" t="s">
        <v>559</v>
      </c>
      <c r="C615" t="s">
        <v>1170</v>
      </c>
    </row>
    <row r="616" spans="1:3">
      <c r="A616" t="s">
        <v>456</v>
      </c>
      <c r="B616" t="s">
        <v>561</v>
      </c>
      <c r="C616" t="s">
        <v>1171</v>
      </c>
    </row>
    <row r="617" spans="1:3">
      <c r="A617" t="s">
        <v>456</v>
      </c>
      <c r="B617" t="s">
        <v>563</v>
      </c>
      <c r="C617" t="s">
        <v>1172</v>
      </c>
    </row>
    <row r="618" spans="1:3">
      <c r="A618" t="s">
        <v>457</v>
      </c>
      <c r="B618" t="s">
        <v>549</v>
      </c>
      <c r="C618" t="s">
        <v>1173</v>
      </c>
    </row>
    <row r="619" spans="1:3">
      <c r="A619" t="s">
        <v>457</v>
      </c>
      <c r="B619" t="s">
        <v>551</v>
      </c>
      <c r="C619" t="s">
        <v>1174</v>
      </c>
    </row>
    <row r="620" spans="1:3">
      <c r="A620" t="s">
        <v>457</v>
      </c>
      <c r="B620" t="s">
        <v>553</v>
      </c>
      <c r="C620" t="s">
        <v>1175</v>
      </c>
    </row>
    <row r="621" spans="1:3">
      <c r="A621" t="s">
        <v>457</v>
      </c>
      <c r="B621" t="s">
        <v>555</v>
      </c>
      <c r="C621" t="s">
        <v>1176</v>
      </c>
    </row>
    <row r="622" spans="1:3">
      <c r="A622" t="s">
        <v>457</v>
      </c>
      <c r="B622" t="s">
        <v>557</v>
      </c>
      <c r="C622" t="s">
        <v>1177</v>
      </c>
    </row>
    <row r="623" spans="1:3">
      <c r="A623" t="s">
        <v>457</v>
      </c>
      <c r="B623" t="s">
        <v>559</v>
      </c>
      <c r="C623" t="s">
        <v>1178</v>
      </c>
    </row>
    <row r="624" spans="1:3">
      <c r="A624" t="s">
        <v>457</v>
      </c>
      <c r="B624" t="s">
        <v>561</v>
      </c>
      <c r="C624" t="s">
        <v>1179</v>
      </c>
    </row>
    <row r="625" spans="1:3">
      <c r="A625" t="s">
        <v>457</v>
      </c>
      <c r="B625" t="s">
        <v>563</v>
      </c>
      <c r="C625" t="s">
        <v>1180</v>
      </c>
    </row>
    <row r="626" spans="1:3">
      <c r="A626" t="s">
        <v>458</v>
      </c>
      <c r="B626" t="s">
        <v>549</v>
      </c>
      <c r="C626" t="s">
        <v>1181</v>
      </c>
    </row>
    <row r="627" spans="1:3">
      <c r="A627" t="s">
        <v>458</v>
      </c>
      <c r="B627" t="s">
        <v>551</v>
      </c>
      <c r="C627" t="s">
        <v>1182</v>
      </c>
    </row>
    <row r="628" spans="1:3">
      <c r="A628" t="s">
        <v>458</v>
      </c>
      <c r="B628" t="s">
        <v>553</v>
      </c>
      <c r="C628" t="s">
        <v>1183</v>
      </c>
    </row>
    <row r="629" spans="1:3">
      <c r="A629" t="s">
        <v>458</v>
      </c>
      <c r="B629" t="s">
        <v>555</v>
      </c>
      <c r="C629" t="s">
        <v>1184</v>
      </c>
    </row>
    <row r="630" spans="1:3">
      <c r="A630" t="s">
        <v>458</v>
      </c>
      <c r="B630" t="s">
        <v>557</v>
      </c>
      <c r="C630" t="s">
        <v>1185</v>
      </c>
    </row>
    <row r="631" spans="1:3">
      <c r="A631" t="s">
        <v>458</v>
      </c>
      <c r="B631" t="s">
        <v>559</v>
      </c>
      <c r="C631" t="s">
        <v>1186</v>
      </c>
    </row>
    <row r="632" spans="1:3">
      <c r="A632" t="s">
        <v>458</v>
      </c>
      <c r="B632" t="s">
        <v>561</v>
      </c>
      <c r="C632" t="s">
        <v>1187</v>
      </c>
    </row>
    <row r="633" spans="1:3">
      <c r="A633" t="s">
        <v>458</v>
      </c>
      <c r="B633" t="s">
        <v>563</v>
      </c>
      <c r="C633" t="s">
        <v>1188</v>
      </c>
    </row>
    <row r="634" spans="1:3">
      <c r="A634" t="s">
        <v>459</v>
      </c>
      <c r="B634" t="s">
        <v>549</v>
      </c>
      <c r="C634" t="s">
        <v>1189</v>
      </c>
    </row>
    <row r="635" spans="1:3">
      <c r="A635" t="s">
        <v>459</v>
      </c>
      <c r="B635" t="s">
        <v>551</v>
      </c>
      <c r="C635" t="s">
        <v>1190</v>
      </c>
    </row>
    <row r="636" spans="1:3">
      <c r="A636" t="s">
        <v>459</v>
      </c>
      <c r="B636" t="s">
        <v>553</v>
      </c>
      <c r="C636" t="s">
        <v>1191</v>
      </c>
    </row>
    <row r="637" spans="1:3">
      <c r="A637" t="s">
        <v>459</v>
      </c>
      <c r="B637" t="s">
        <v>555</v>
      </c>
      <c r="C637" t="s">
        <v>1192</v>
      </c>
    </row>
    <row r="638" spans="1:3">
      <c r="A638" t="s">
        <v>459</v>
      </c>
      <c r="B638" t="s">
        <v>557</v>
      </c>
      <c r="C638" t="s">
        <v>1193</v>
      </c>
    </row>
    <row r="639" spans="1:3">
      <c r="A639" t="s">
        <v>459</v>
      </c>
      <c r="B639" t="s">
        <v>559</v>
      </c>
      <c r="C639" t="s">
        <v>1194</v>
      </c>
    </row>
    <row r="640" spans="1:3">
      <c r="A640" t="s">
        <v>459</v>
      </c>
      <c r="B640" t="s">
        <v>561</v>
      </c>
      <c r="C640" t="s">
        <v>1195</v>
      </c>
    </row>
    <row r="641" spans="1:3">
      <c r="A641" t="s">
        <v>459</v>
      </c>
      <c r="B641" t="s">
        <v>563</v>
      </c>
      <c r="C641" t="s">
        <v>1196</v>
      </c>
    </row>
    <row r="642" spans="1:3">
      <c r="A642" t="s">
        <v>460</v>
      </c>
      <c r="B642" t="s">
        <v>549</v>
      </c>
      <c r="C642" t="s">
        <v>1197</v>
      </c>
    </row>
    <row r="643" spans="1:3">
      <c r="A643" t="s">
        <v>460</v>
      </c>
      <c r="B643" t="s">
        <v>551</v>
      </c>
      <c r="C643" t="s">
        <v>1198</v>
      </c>
    </row>
    <row r="644" spans="1:3">
      <c r="A644" t="s">
        <v>460</v>
      </c>
      <c r="B644" t="s">
        <v>553</v>
      </c>
      <c r="C644" t="s">
        <v>1199</v>
      </c>
    </row>
    <row r="645" spans="1:3">
      <c r="A645" t="s">
        <v>460</v>
      </c>
      <c r="B645" t="s">
        <v>555</v>
      </c>
      <c r="C645" t="s">
        <v>1200</v>
      </c>
    </row>
    <row r="646" spans="1:3">
      <c r="A646" t="s">
        <v>460</v>
      </c>
      <c r="B646" t="s">
        <v>557</v>
      </c>
      <c r="C646" t="s">
        <v>1201</v>
      </c>
    </row>
    <row r="647" spans="1:3">
      <c r="A647" t="s">
        <v>460</v>
      </c>
      <c r="B647" t="s">
        <v>559</v>
      </c>
      <c r="C647" t="s">
        <v>1202</v>
      </c>
    </row>
    <row r="648" spans="1:3">
      <c r="A648" t="s">
        <v>460</v>
      </c>
      <c r="B648" t="s">
        <v>561</v>
      </c>
      <c r="C648" t="s">
        <v>1203</v>
      </c>
    </row>
    <row r="649" spans="1:3">
      <c r="A649" t="s">
        <v>460</v>
      </c>
      <c r="B649" t="s">
        <v>563</v>
      </c>
      <c r="C649" t="s">
        <v>1204</v>
      </c>
    </row>
    <row r="650" spans="1:3">
      <c r="A650" t="s">
        <v>461</v>
      </c>
      <c r="B650" t="s">
        <v>549</v>
      </c>
      <c r="C650" t="s">
        <v>1205</v>
      </c>
    </row>
    <row r="651" spans="1:3">
      <c r="A651" t="s">
        <v>461</v>
      </c>
      <c r="B651" t="s">
        <v>551</v>
      </c>
      <c r="C651" t="s">
        <v>1206</v>
      </c>
    </row>
    <row r="652" spans="1:3">
      <c r="A652" t="s">
        <v>461</v>
      </c>
      <c r="B652" t="s">
        <v>553</v>
      </c>
      <c r="C652" t="s">
        <v>1207</v>
      </c>
    </row>
    <row r="653" spans="1:3">
      <c r="A653" t="s">
        <v>461</v>
      </c>
      <c r="B653" t="s">
        <v>555</v>
      </c>
      <c r="C653" t="s">
        <v>1208</v>
      </c>
    </row>
    <row r="654" spans="1:3">
      <c r="A654" t="s">
        <v>461</v>
      </c>
      <c r="B654" t="s">
        <v>557</v>
      </c>
      <c r="C654" t="s">
        <v>1209</v>
      </c>
    </row>
    <row r="655" spans="1:3">
      <c r="A655" t="s">
        <v>461</v>
      </c>
      <c r="B655" t="s">
        <v>559</v>
      </c>
      <c r="C655" t="s">
        <v>1210</v>
      </c>
    </row>
    <row r="656" spans="1:3">
      <c r="A656" t="s">
        <v>461</v>
      </c>
      <c r="B656" t="s">
        <v>561</v>
      </c>
      <c r="C656" t="s">
        <v>1211</v>
      </c>
    </row>
    <row r="657" spans="1:3">
      <c r="A657" t="s">
        <v>461</v>
      </c>
      <c r="B657" t="s">
        <v>563</v>
      </c>
      <c r="C657" t="s">
        <v>1212</v>
      </c>
    </row>
    <row r="658" spans="1:3">
      <c r="A658" t="s">
        <v>462</v>
      </c>
      <c r="B658" t="s">
        <v>549</v>
      </c>
      <c r="C658" t="s">
        <v>1213</v>
      </c>
    </row>
    <row r="659" spans="1:3">
      <c r="A659" t="s">
        <v>462</v>
      </c>
      <c r="B659" t="s">
        <v>551</v>
      </c>
      <c r="C659" t="s">
        <v>1214</v>
      </c>
    </row>
    <row r="660" spans="1:3">
      <c r="A660" t="s">
        <v>462</v>
      </c>
      <c r="B660" t="s">
        <v>553</v>
      </c>
      <c r="C660" t="s">
        <v>1215</v>
      </c>
    </row>
    <row r="661" spans="1:3">
      <c r="A661" t="s">
        <v>462</v>
      </c>
      <c r="B661" t="s">
        <v>555</v>
      </c>
      <c r="C661" t="s">
        <v>1216</v>
      </c>
    </row>
    <row r="662" spans="1:3">
      <c r="A662" t="s">
        <v>462</v>
      </c>
      <c r="B662" t="s">
        <v>557</v>
      </c>
      <c r="C662" t="s">
        <v>1217</v>
      </c>
    </row>
    <row r="663" spans="1:3">
      <c r="A663" t="s">
        <v>462</v>
      </c>
      <c r="B663" t="s">
        <v>559</v>
      </c>
      <c r="C663" t="s">
        <v>1218</v>
      </c>
    </row>
    <row r="664" spans="1:3">
      <c r="A664" t="s">
        <v>462</v>
      </c>
      <c r="B664" t="s">
        <v>561</v>
      </c>
      <c r="C664" t="s">
        <v>1219</v>
      </c>
    </row>
    <row r="665" spans="1:3">
      <c r="A665" t="s">
        <v>462</v>
      </c>
      <c r="B665" t="s">
        <v>563</v>
      </c>
      <c r="C665" t="s">
        <v>1220</v>
      </c>
    </row>
    <row r="666" spans="1:3">
      <c r="A666" t="s">
        <v>463</v>
      </c>
      <c r="B666" t="s">
        <v>549</v>
      </c>
      <c r="C666" t="s">
        <v>1221</v>
      </c>
    </row>
    <row r="667" spans="1:3">
      <c r="A667" t="s">
        <v>463</v>
      </c>
      <c r="B667" t="s">
        <v>551</v>
      </c>
      <c r="C667" t="s">
        <v>1222</v>
      </c>
    </row>
    <row r="668" spans="1:3">
      <c r="A668" t="s">
        <v>463</v>
      </c>
      <c r="B668" t="s">
        <v>553</v>
      </c>
      <c r="C668" t="s">
        <v>1223</v>
      </c>
    </row>
    <row r="669" spans="1:3">
      <c r="A669" t="s">
        <v>463</v>
      </c>
      <c r="B669" t="s">
        <v>555</v>
      </c>
      <c r="C669" t="s">
        <v>1224</v>
      </c>
    </row>
    <row r="670" spans="1:3">
      <c r="A670" t="s">
        <v>463</v>
      </c>
      <c r="B670" t="s">
        <v>557</v>
      </c>
      <c r="C670" t="s">
        <v>1225</v>
      </c>
    </row>
    <row r="671" spans="1:3">
      <c r="A671" t="s">
        <v>463</v>
      </c>
      <c r="B671" t="s">
        <v>559</v>
      </c>
      <c r="C671" t="s">
        <v>1226</v>
      </c>
    </row>
    <row r="672" spans="1:3">
      <c r="A672" t="s">
        <v>463</v>
      </c>
      <c r="B672" t="s">
        <v>561</v>
      </c>
      <c r="C672" t="s">
        <v>1227</v>
      </c>
    </row>
    <row r="673" spans="1:3">
      <c r="A673" t="s">
        <v>463</v>
      </c>
      <c r="B673" t="s">
        <v>563</v>
      </c>
      <c r="C673" t="s">
        <v>1228</v>
      </c>
    </row>
    <row r="674" spans="1:3">
      <c r="A674" t="s">
        <v>464</v>
      </c>
      <c r="B674" t="s">
        <v>549</v>
      </c>
      <c r="C674" t="s">
        <v>1229</v>
      </c>
    </row>
    <row r="675" spans="1:3">
      <c r="A675" t="s">
        <v>464</v>
      </c>
      <c r="B675" t="s">
        <v>551</v>
      </c>
      <c r="C675" t="s">
        <v>1230</v>
      </c>
    </row>
    <row r="676" spans="1:3">
      <c r="A676" t="s">
        <v>464</v>
      </c>
      <c r="B676" t="s">
        <v>553</v>
      </c>
      <c r="C676" t="s">
        <v>1231</v>
      </c>
    </row>
    <row r="677" spans="1:3">
      <c r="A677" t="s">
        <v>464</v>
      </c>
      <c r="B677" t="s">
        <v>555</v>
      </c>
      <c r="C677" t="s">
        <v>1232</v>
      </c>
    </row>
    <row r="678" spans="1:3">
      <c r="A678" t="s">
        <v>464</v>
      </c>
      <c r="B678" t="s">
        <v>557</v>
      </c>
      <c r="C678" t="s">
        <v>1233</v>
      </c>
    </row>
    <row r="679" spans="1:3">
      <c r="A679" t="s">
        <v>464</v>
      </c>
      <c r="B679" t="s">
        <v>559</v>
      </c>
      <c r="C679" t="s">
        <v>1234</v>
      </c>
    </row>
    <row r="680" spans="1:3">
      <c r="A680" t="s">
        <v>464</v>
      </c>
      <c r="B680" t="s">
        <v>561</v>
      </c>
      <c r="C680" t="s">
        <v>1235</v>
      </c>
    </row>
    <row r="681" spans="1:3">
      <c r="A681" t="s">
        <v>464</v>
      </c>
      <c r="B681" t="s">
        <v>563</v>
      </c>
      <c r="C681" t="s">
        <v>1236</v>
      </c>
    </row>
    <row r="682" spans="1:3">
      <c r="A682" t="s">
        <v>465</v>
      </c>
      <c r="B682" t="s">
        <v>549</v>
      </c>
      <c r="C682" t="s">
        <v>1237</v>
      </c>
    </row>
    <row r="683" spans="1:3">
      <c r="A683" t="s">
        <v>465</v>
      </c>
      <c r="B683" t="s">
        <v>551</v>
      </c>
      <c r="C683" t="s">
        <v>1238</v>
      </c>
    </row>
    <row r="684" spans="1:3">
      <c r="A684" t="s">
        <v>465</v>
      </c>
      <c r="B684" t="s">
        <v>553</v>
      </c>
      <c r="C684" t="s">
        <v>1239</v>
      </c>
    </row>
    <row r="685" spans="1:3">
      <c r="A685" t="s">
        <v>465</v>
      </c>
      <c r="B685" t="s">
        <v>555</v>
      </c>
      <c r="C685" t="s">
        <v>1240</v>
      </c>
    </row>
    <row r="686" spans="1:3">
      <c r="A686" t="s">
        <v>465</v>
      </c>
      <c r="B686" t="s">
        <v>557</v>
      </c>
      <c r="C686" t="s">
        <v>1241</v>
      </c>
    </row>
    <row r="687" spans="1:3">
      <c r="A687" t="s">
        <v>465</v>
      </c>
      <c r="B687" t="s">
        <v>559</v>
      </c>
      <c r="C687" t="s">
        <v>1242</v>
      </c>
    </row>
    <row r="688" spans="1:3">
      <c r="A688" t="s">
        <v>465</v>
      </c>
      <c r="B688" t="s">
        <v>561</v>
      </c>
      <c r="C688" t="s">
        <v>1243</v>
      </c>
    </row>
    <row r="689" spans="1:3">
      <c r="A689" t="s">
        <v>465</v>
      </c>
      <c r="B689" t="s">
        <v>563</v>
      </c>
      <c r="C689" t="s">
        <v>1244</v>
      </c>
    </row>
    <row r="690" spans="1:3">
      <c r="A690" t="s">
        <v>466</v>
      </c>
      <c r="B690" t="s">
        <v>549</v>
      </c>
      <c r="C690" t="s">
        <v>1245</v>
      </c>
    </row>
    <row r="691" spans="1:3">
      <c r="A691" t="s">
        <v>466</v>
      </c>
      <c r="B691" t="s">
        <v>551</v>
      </c>
      <c r="C691" t="s">
        <v>1246</v>
      </c>
    </row>
    <row r="692" spans="1:3">
      <c r="A692" t="s">
        <v>466</v>
      </c>
      <c r="B692" t="s">
        <v>553</v>
      </c>
      <c r="C692" t="s">
        <v>1247</v>
      </c>
    </row>
    <row r="693" spans="1:3">
      <c r="A693" t="s">
        <v>466</v>
      </c>
      <c r="B693" t="s">
        <v>555</v>
      </c>
      <c r="C693" t="s">
        <v>1248</v>
      </c>
    </row>
    <row r="694" spans="1:3">
      <c r="A694" t="s">
        <v>466</v>
      </c>
      <c r="B694" t="s">
        <v>557</v>
      </c>
      <c r="C694" t="s">
        <v>1249</v>
      </c>
    </row>
    <row r="695" spans="1:3">
      <c r="A695" t="s">
        <v>466</v>
      </c>
      <c r="B695" t="s">
        <v>559</v>
      </c>
      <c r="C695" t="s">
        <v>1250</v>
      </c>
    </row>
    <row r="696" spans="1:3">
      <c r="A696" t="s">
        <v>466</v>
      </c>
      <c r="B696" t="s">
        <v>561</v>
      </c>
      <c r="C696" t="s">
        <v>1251</v>
      </c>
    </row>
    <row r="697" spans="1:3">
      <c r="A697" t="s">
        <v>466</v>
      </c>
      <c r="B697" t="s">
        <v>563</v>
      </c>
      <c r="C697" t="s">
        <v>1252</v>
      </c>
    </row>
    <row r="698" spans="1:3">
      <c r="A698" t="s">
        <v>467</v>
      </c>
      <c r="B698" t="s">
        <v>549</v>
      </c>
      <c r="C698" t="s">
        <v>1253</v>
      </c>
    </row>
    <row r="699" spans="1:3">
      <c r="A699" t="s">
        <v>467</v>
      </c>
      <c r="B699" t="s">
        <v>551</v>
      </c>
      <c r="C699" t="s">
        <v>1254</v>
      </c>
    </row>
    <row r="700" spans="1:3">
      <c r="A700" t="s">
        <v>467</v>
      </c>
      <c r="B700" t="s">
        <v>553</v>
      </c>
      <c r="C700" t="s">
        <v>1255</v>
      </c>
    </row>
    <row r="701" spans="1:3">
      <c r="A701" t="s">
        <v>467</v>
      </c>
      <c r="B701" t="s">
        <v>555</v>
      </c>
      <c r="C701" t="s">
        <v>1256</v>
      </c>
    </row>
    <row r="702" spans="1:3">
      <c r="A702" t="s">
        <v>467</v>
      </c>
      <c r="B702" t="s">
        <v>557</v>
      </c>
      <c r="C702" t="s">
        <v>1257</v>
      </c>
    </row>
    <row r="703" spans="1:3">
      <c r="A703" t="s">
        <v>467</v>
      </c>
      <c r="B703" t="s">
        <v>559</v>
      </c>
      <c r="C703" t="s">
        <v>1258</v>
      </c>
    </row>
    <row r="704" spans="1:3">
      <c r="A704" t="s">
        <v>467</v>
      </c>
      <c r="B704" t="s">
        <v>561</v>
      </c>
      <c r="C704" t="s">
        <v>1259</v>
      </c>
    </row>
    <row r="705" spans="1:3">
      <c r="A705" t="s">
        <v>467</v>
      </c>
      <c r="B705" t="s">
        <v>563</v>
      </c>
      <c r="C705" t="s">
        <v>1260</v>
      </c>
    </row>
    <row r="706" spans="1:3">
      <c r="A706" t="s">
        <v>468</v>
      </c>
      <c r="B706" t="s">
        <v>549</v>
      </c>
      <c r="C706" t="s">
        <v>1261</v>
      </c>
    </row>
    <row r="707" spans="1:3">
      <c r="A707" t="s">
        <v>468</v>
      </c>
      <c r="B707" t="s">
        <v>551</v>
      </c>
      <c r="C707" t="s">
        <v>1262</v>
      </c>
    </row>
    <row r="708" spans="1:3">
      <c r="A708" t="s">
        <v>468</v>
      </c>
      <c r="B708" t="s">
        <v>553</v>
      </c>
      <c r="C708" t="s">
        <v>1263</v>
      </c>
    </row>
    <row r="709" spans="1:3">
      <c r="A709" t="s">
        <v>468</v>
      </c>
      <c r="B709" t="s">
        <v>555</v>
      </c>
      <c r="C709" t="s">
        <v>1264</v>
      </c>
    </row>
    <row r="710" spans="1:3">
      <c r="A710" t="s">
        <v>468</v>
      </c>
      <c r="B710" t="s">
        <v>557</v>
      </c>
      <c r="C710" t="s">
        <v>1265</v>
      </c>
    </row>
    <row r="711" spans="1:3">
      <c r="A711" t="s">
        <v>468</v>
      </c>
      <c r="B711" t="s">
        <v>559</v>
      </c>
      <c r="C711" t="s">
        <v>1266</v>
      </c>
    </row>
    <row r="712" spans="1:3">
      <c r="A712" t="s">
        <v>468</v>
      </c>
      <c r="B712" t="s">
        <v>561</v>
      </c>
      <c r="C712" t="s">
        <v>1267</v>
      </c>
    </row>
    <row r="713" spans="1:3">
      <c r="A713" t="s">
        <v>468</v>
      </c>
      <c r="B713" t="s">
        <v>563</v>
      </c>
      <c r="C713" t="s">
        <v>1268</v>
      </c>
    </row>
    <row r="714" spans="1:3">
      <c r="A714" t="s">
        <v>469</v>
      </c>
      <c r="B714" t="s">
        <v>549</v>
      </c>
      <c r="C714" t="s">
        <v>1269</v>
      </c>
    </row>
    <row r="715" spans="1:3">
      <c r="A715" t="s">
        <v>469</v>
      </c>
      <c r="B715" t="s">
        <v>551</v>
      </c>
      <c r="C715" t="s">
        <v>1270</v>
      </c>
    </row>
    <row r="716" spans="1:3">
      <c r="A716" t="s">
        <v>469</v>
      </c>
      <c r="B716" t="s">
        <v>553</v>
      </c>
      <c r="C716" t="s">
        <v>1271</v>
      </c>
    </row>
    <row r="717" spans="1:3">
      <c r="A717" t="s">
        <v>469</v>
      </c>
      <c r="B717" t="s">
        <v>555</v>
      </c>
      <c r="C717" t="s">
        <v>1272</v>
      </c>
    </row>
    <row r="718" spans="1:3">
      <c r="A718" t="s">
        <v>469</v>
      </c>
      <c r="B718" t="s">
        <v>557</v>
      </c>
      <c r="C718" t="s">
        <v>1273</v>
      </c>
    </row>
    <row r="719" spans="1:3">
      <c r="A719" t="s">
        <v>469</v>
      </c>
      <c r="B719" t="s">
        <v>559</v>
      </c>
      <c r="C719" t="s">
        <v>1274</v>
      </c>
    </row>
    <row r="720" spans="1:3">
      <c r="A720" t="s">
        <v>469</v>
      </c>
      <c r="B720" t="s">
        <v>561</v>
      </c>
      <c r="C720" t="s">
        <v>1275</v>
      </c>
    </row>
    <row r="721" spans="1:3">
      <c r="A721" t="s">
        <v>469</v>
      </c>
      <c r="B721" t="s">
        <v>563</v>
      </c>
      <c r="C721" t="s">
        <v>1276</v>
      </c>
    </row>
    <row r="722" spans="1:3">
      <c r="A722" t="s">
        <v>470</v>
      </c>
      <c r="B722" t="s">
        <v>549</v>
      </c>
      <c r="C722" t="s">
        <v>1277</v>
      </c>
    </row>
    <row r="723" spans="1:3">
      <c r="A723" t="s">
        <v>470</v>
      </c>
      <c r="B723" t="s">
        <v>551</v>
      </c>
      <c r="C723" t="s">
        <v>1278</v>
      </c>
    </row>
    <row r="724" spans="1:3">
      <c r="A724" t="s">
        <v>470</v>
      </c>
      <c r="B724" t="s">
        <v>553</v>
      </c>
      <c r="C724" t="s">
        <v>1279</v>
      </c>
    </row>
    <row r="725" spans="1:3">
      <c r="A725" t="s">
        <v>470</v>
      </c>
      <c r="B725" t="s">
        <v>555</v>
      </c>
      <c r="C725" t="s">
        <v>1280</v>
      </c>
    </row>
    <row r="726" spans="1:3">
      <c r="A726" t="s">
        <v>470</v>
      </c>
      <c r="B726" t="s">
        <v>557</v>
      </c>
      <c r="C726" t="s">
        <v>1281</v>
      </c>
    </row>
    <row r="727" spans="1:3">
      <c r="A727" t="s">
        <v>470</v>
      </c>
      <c r="B727" t="s">
        <v>559</v>
      </c>
      <c r="C727" t="s">
        <v>1282</v>
      </c>
    </row>
    <row r="728" spans="1:3">
      <c r="A728" t="s">
        <v>470</v>
      </c>
      <c r="B728" t="s">
        <v>561</v>
      </c>
      <c r="C728" t="s">
        <v>1283</v>
      </c>
    </row>
    <row r="729" spans="1:3">
      <c r="A729" t="s">
        <v>470</v>
      </c>
      <c r="B729" t="s">
        <v>563</v>
      </c>
      <c r="C729" t="s">
        <v>1284</v>
      </c>
    </row>
    <row r="730" spans="1:3">
      <c r="A730" t="s">
        <v>471</v>
      </c>
      <c r="B730" t="s">
        <v>549</v>
      </c>
      <c r="C730" t="s">
        <v>1285</v>
      </c>
    </row>
    <row r="731" spans="1:3">
      <c r="A731" t="s">
        <v>471</v>
      </c>
      <c r="B731" t="s">
        <v>551</v>
      </c>
      <c r="C731" t="s">
        <v>1286</v>
      </c>
    </row>
    <row r="732" spans="1:3">
      <c r="A732" t="s">
        <v>471</v>
      </c>
      <c r="B732" t="s">
        <v>553</v>
      </c>
      <c r="C732" t="s">
        <v>1287</v>
      </c>
    </row>
    <row r="733" spans="1:3">
      <c r="A733" t="s">
        <v>471</v>
      </c>
      <c r="B733" t="s">
        <v>555</v>
      </c>
      <c r="C733" t="s">
        <v>1288</v>
      </c>
    </row>
    <row r="734" spans="1:3">
      <c r="A734" t="s">
        <v>471</v>
      </c>
      <c r="B734" t="s">
        <v>557</v>
      </c>
      <c r="C734" t="s">
        <v>1289</v>
      </c>
    </row>
    <row r="735" spans="1:3">
      <c r="A735" t="s">
        <v>471</v>
      </c>
      <c r="B735" t="s">
        <v>559</v>
      </c>
      <c r="C735" t="s">
        <v>1290</v>
      </c>
    </row>
    <row r="736" spans="1:3">
      <c r="A736" t="s">
        <v>471</v>
      </c>
      <c r="B736" t="s">
        <v>561</v>
      </c>
      <c r="C736" t="s">
        <v>1291</v>
      </c>
    </row>
    <row r="737" spans="1:3">
      <c r="A737" t="s">
        <v>471</v>
      </c>
      <c r="B737" t="s">
        <v>563</v>
      </c>
      <c r="C737" t="s">
        <v>1292</v>
      </c>
    </row>
    <row r="738" spans="1:3">
      <c r="A738" t="s">
        <v>472</v>
      </c>
      <c r="B738" t="s">
        <v>549</v>
      </c>
      <c r="C738" t="s">
        <v>1293</v>
      </c>
    </row>
    <row r="739" spans="1:3">
      <c r="A739" t="s">
        <v>472</v>
      </c>
      <c r="B739" t="s">
        <v>551</v>
      </c>
      <c r="C739" t="s">
        <v>1294</v>
      </c>
    </row>
    <row r="740" spans="1:3">
      <c r="A740" t="s">
        <v>472</v>
      </c>
      <c r="B740" t="s">
        <v>553</v>
      </c>
      <c r="C740" t="s">
        <v>1295</v>
      </c>
    </row>
    <row r="741" spans="1:3">
      <c r="A741" t="s">
        <v>472</v>
      </c>
      <c r="B741" t="s">
        <v>555</v>
      </c>
      <c r="C741" t="s">
        <v>1296</v>
      </c>
    </row>
    <row r="742" spans="1:3">
      <c r="A742" t="s">
        <v>472</v>
      </c>
      <c r="B742" t="s">
        <v>557</v>
      </c>
      <c r="C742" t="s">
        <v>1297</v>
      </c>
    </row>
    <row r="743" spans="1:3">
      <c r="A743" t="s">
        <v>472</v>
      </c>
      <c r="B743" t="s">
        <v>559</v>
      </c>
      <c r="C743" t="s">
        <v>1298</v>
      </c>
    </row>
    <row r="744" spans="1:3">
      <c r="A744" t="s">
        <v>472</v>
      </c>
      <c r="B744" t="s">
        <v>561</v>
      </c>
      <c r="C744" t="s">
        <v>1299</v>
      </c>
    </row>
    <row r="745" spans="1:3">
      <c r="A745" t="s">
        <v>472</v>
      </c>
      <c r="B745" t="s">
        <v>563</v>
      </c>
      <c r="C745" t="s">
        <v>1300</v>
      </c>
    </row>
    <row r="746" spans="1:3">
      <c r="A746" t="s">
        <v>473</v>
      </c>
      <c r="B746" t="s">
        <v>549</v>
      </c>
      <c r="C746" t="s">
        <v>1301</v>
      </c>
    </row>
    <row r="747" spans="1:3">
      <c r="A747" t="s">
        <v>473</v>
      </c>
      <c r="B747" t="s">
        <v>551</v>
      </c>
      <c r="C747" t="s">
        <v>1302</v>
      </c>
    </row>
    <row r="748" spans="1:3">
      <c r="A748" t="s">
        <v>473</v>
      </c>
      <c r="B748" t="s">
        <v>553</v>
      </c>
      <c r="C748" t="s">
        <v>1303</v>
      </c>
    </row>
    <row r="749" spans="1:3">
      <c r="A749" t="s">
        <v>473</v>
      </c>
      <c r="B749" t="s">
        <v>555</v>
      </c>
      <c r="C749" t="s">
        <v>1304</v>
      </c>
    </row>
    <row r="750" spans="1:3">
      <c r="A750" t="s">
        <v>473</v>
      </c>
      <c r="B750" t="s">
        <v>557</v>
      </c>
      <c r="C750" t="s">
        <v>1305</v>
      </c>
    </row>
    <row r="751" spans="1:3">
      <c r="A751" t="s">
        <v>473</v>
      </c>
      <c r="B751" t="s">
        <v>559</v>
      </c>
      <c r="C751" t="s">
        <v>1306</v>
      </c>
    </row>
    <row r="752" spans="1:3">
      <c r="A752" t="s">
        <v>473</v>
      </c>
      <c r="B752" t="s">
        <v>561</v>
      </c>
      <c r="C752" t="s">
        <v>1307</v>
      </c>
    </row>
    <row r="753" spans="1:3">
      <c r="A753" t="s">
        <v>473</v>
      </c>
      <c r="B753" t="s">
        <v>563</v>
      </c>
      <c r="C753" t="s">
        <v>1308</v>
      </c>
    </row>
    <row r="754" spans="1:3">
      <c r="A754" t="s">
        <v>474</v>
      </c>
      <c r="B754" t="s">
        <v>549</v>
      </c>
      <c r="C754" t="s">
        <v>1309</v>
      </c>
    </row>
    <row r="755" spans="1:3">
      <c r="A755" t="s">
        <v>474</v>
      </c>
      <c r="B755" t="s">
        <v>551</v>
      </c>
      <c r="C755" t="s">
        <v>1310</v>
      </c>
    </row>
    <row r="756" spans="1:3">
      <c r="A756" t="s">
        <v>474</v>
      </c>
      <c r="B756" t="s">
        <v>553</v>
      </c>
      <c r="C756" t="s">
        <v>1311</v>
      </c>
    </row>
    <row r="757" spans="1:3">
      <c r="A757" t="s">
        <v>474</v>
      </c>
      <c r="B757" t="s">
        <v>555</v>
      </c>
      <c r="C757" t="s">
        <v>1312</v>
      </c>
    </row>
    <row r="758" spans="1:3">
      <c r="A758" t="s">
        <v>474</v>
      </c>
      <c r="B758" t="s">
        <v>557</v>
      </c>
      <c r="C758" t="s">
        <v>1313</v>
      </c>
    </row>
    <row r="759" spans="1:3">
      <c r="A759" t="s">
        <v>474</v>
      </c>
      <c r="B759" t="s">
        <v>559</v>
      </c>
      <c r="C759" t="s">
        <v>1314</v>
      </c>
    </row>
    <row r="760" spans="1:3">
      <c r="A760" t="s">
        <v>474</v>
      </c>
      <c r="B760" t="s">
        <v>561</v>
      </c>
      <c r="C760" t="s">
        <v>1315</v>
      </c>
    </row>
    <row r="761" spans="1:3">
      <c r="A761" t="s">
        <v>474</v>
      </c>
      <c r="B761" t="s">
        <v>563</v>
      </c>
      <c r="C761" t="s">
        <v>1316</v>
      </c>
    </row>
    <row r="762" spans="1:3">
      <c r="A762" t="s">
        <v>475</v>
      </c>
      <c r="B762" t="s">
        <v>549</v>
      </c>
      <c r="C762" t="s">
        <v>1317</v>
      </c>
    </row>
    <row r="763" spans="1:3">
      <c r="A763" t="s">
        <v>475</v>
      </c>
      <c r="B763" t="s">
        <v>551</v>
      </c>
      <c r="C763" t="s">
        <v>1318</v>
      </c>
    </row>
    <row r="764" spans="1:3">
      <c r="A764" t="s">
        <v>475</v>
      </c>
      <c r="B764" t="s">
        <v>553</v>
      </c>
      <c r="C764" t="s">
        <v>1319</v>
      </c>
    </row>
    <row r="765" spans="1:3">
      <c r="A765" t="s">
        <v>475</v>
      </c>
      <c r="B765" t="s">
        <v>555</v>
      </c>
      <c r="C765" t="s">
        <v>1320</v>
      </c>
    </row>
    <row r="766" spans="1:3">
      <c r="A766" t="s">
        <v>475</v>
      </c>
      <c r="B766" t="s">
        <v>557</v>
      </c>
      <c r="C766" t="s">
        <v>1321</v>
      </c>
    </row>
    <row r="767" spans="1:3">
      <c r="A767" t="s">
        <v>475</v>
      </c>
      <c r="B767" t="s">
        <v>559</v>
      </c>
      <c r="C767" t="s">
        <v>1322</v>
      </c>
    </row>
    <row r="768" spans="1:3">
      <c r="A768" t="s">
        <v>475</v>
      </c>
      <c r="B768" t="s">
        <v>561</v>
      </c>
      <c r="C768" t="s">
        <v>1323</v>
      </c>
    </row>
    <row r="769" spans="1:3">
      <c r="A769" t="s">
        <v>475</v>
      </c>
      <c r="B769" t="s">
        <v>563</v>
      </c>
      <c r="C769" t="s">
        <v>1324</v>
      </c>
    </row>
    <row r="770" spans="1:3">
      <c r="A770" t="s">
        <v>476</v>
      </c>
      <c r="B770" t="s">
        <v>549</v>
      </c>
      <c r="C770" t="s">
        <v>1325</v>
      </c>
    </row>
    <row r="771" spans="1:3">
      <c r="A771" t="s">
        <v>476</v>
      </c>
      <c r="B771" t="s">
        <v>551</v>
      </c>
      <c r="C771" t="s">
        <v>1326</v>
      </c>
    </row>
    <row r="772" spans="1:3">
      <c r="A772" t="s">
        <v>476</v>
      </c>
      <c r="B772" t="s">
        <v>553</v>
      </c>
      <c r="C772" t="s">
        <v>1327</v>
      </c>
    </row>
    <row r="773" spans="1:3">
      <c r="A773" t="s">
        <v>476</v>
      </c>
      <c r="B773" t="s">
        <v>555</v>
      </c>
      <c r="C773" t="s">
        <v>1328</v>
      </c>
    </row>
    <row r="774" spans="1:3">
      <c r="A774" t="s">
        <v>476</v>
      </c>
      <c r="B774" t="s">
        <v>557</v>
      </c>
      <c r="C774" t="s">
        <v>1329</v>
      </c>
    </row>
    <row r="775" spans="1:3">
      <c r="A775" t="s">
        <v>476</v>
      </c>
      <c r="B775" t="s">
        <v>559</v>
      </c>
      <c r="C775" t="s">
        <v>1330</v>
      </c>
    </row>
    <row r="776" spans="1:3">
      <c r="A776" t="s">
        <v>476</v>
      </c>
      <c r="B776" t="s">
        <v>561</v>
      </c>
      <c r="C776" t="s">
        <v>1331</v>
      </c>
    </row>
    <row r="777" spans="1:3">
      <c r="A777" t="s">
        <v>476</v>
      </c>
      <c r="B777" t="s">
        <v>563</v>
      </c>
      <c r="C777" t="s">
        <v>1332</v>
      </c>
    </row>
    <row r="778" spans="1:3">
      <c r="A778" t="s">
        <v>477</v>
      </c>
      <c r="B778" t="s">
        <v>549</v>
      </c>
      <c r="C778" t="s">
        <v>1333</v>
      </c>
    </row>
    <row r="779" spans="1:3">
      <c r="A779" t="s">
        <v>477</v>
      </c>
      <c r="B779" t="s">
        <v>551</v>
      </c>
      <c r="C779" t="s">
        <v>1334</v>
      </c>
    </row>
    <row r="780" spans="1:3">
      <c r="A780" t="s">
        <v>477</v>
      </c>
      <c r="B780" t="s">
        <v>553</v>
      </c>
      <c r="C780" t="s">
        <v>1335</v>
      </c>
    </row>
    <row r="781" spans="1:3">
      <c r="A781" t="s">
        <v>477</v>
      </c>
      <c r="B781" t="s">
        <v>555</v>
      </c>
      <c r="C781" t="s">
        <v>1336</v>
      </c>
    </row>
    <row r="782" spans="1:3">
      <c r="A782" t="s">
        <v>477</v>
      </c>
      <c r="B782" t="s">
        <v>557</v>
      </c>
      <c r="C782" t="s">
        <v>1337</v>
      </c>
    </row>
    <row r="783" spans="1:3">
      <c r="A783" t="s">
        <v>477</v>
      </c>
      <c r="B783" t="s">
        <v>559</v>
      </c>
      <c r="C783" t="s">
        <v>1338</v>
      </c>
    </row>
    <row r="784" spans="1:3">
      <c r="A784" t="s">
        <v>477</v>
      </c>
      <c r="B784" t="s">
        <v>561</v>
      </c>
      <c r="C784" t="s">
        <v>1339</v>
      </c>
    </row>
    <row r="785" spans="1:3">
      <c r="A785" t="s">
        <v>477</v>
      </c>
      <c r="B785" t="s">
        <v>563</v>
      </c>
      <c r="C785" t="s">
        <v>1340</v>
      </c>
    </row>
    <row r="786" spans="1:3">
      <c r="A786" t="s">
        <v>478</v>
      </c>
      <c r="B786" t="s">
        <v>549</v>
      </c>
      <c r="C786" t="s">
        <v>1341</v>
      </c>
    </row>
    <row r="787" spans="1:3">
      <c r="A787" t="s">
        <v>478</v>
      </c>
      <c r="B787" t="s">
        <v>551</v>
      </c>
      <c r="C787" t="s">
        <v>1342</v>
      </c>
    </row>
    <row r="788" spans="1:3">
      <c r="A788" t="s">
        <v>478</v>
      </c>
      <c r="B788" t="s">
        <v>553</v>
      </c>
      <c r="C788" t="s">
        <v>1343</v>
      </c>
    </row>
    <row r="789" spans="1:3">
      <c r="A789" t="s">
        <v>478</v>
      </c>
      <c r="B789" t="s">
        <v>555</v>
      </c>
      <c r="C789" t="s">
        <v>1344</v>
      </c>
    </row>
    <row r="790" spans="1:3">
      <c r="A790" t="s">
        <v>478</v>
      </c>
      <c r="B790" t="s">
        <v>557</v>
      </c>
      <c r="C790" t="s">
        <v>1345</v>
      </c>
    </row>
    <row r="791" spans="1:3">
      <c r="A791" t="s">
        <v>478</v>
      </c>
      <c r="B791" t="s">
        <v>559</v>
      </c>
      <c r="C791" t="s">
        <v>1346</v>
      </c>
    </row>
    <row r="792" spans="1:3">
      <c r="A792" t="s">
        <v>478</v>
      </c>
      <c r="B792" t="s">
        <v>561</v>
      </c>
      <c r="C792" t="s">
        <v>1347</v>
      </c>
    </row>
    <row r="793" spans="1:3">
      <c r="A793" t="s">
        <v>478</v>
      </c>
      <c r="B793" t="s">
        <v>563</v>
      </c>
      <c r="C793" t="s">
        <v>1348</v>
      </c>
    </row>
    <row r="794" spans="1:3">
      <c r="A794" t="s">
        <v>479</v>
      </c>
      <c r="B794" t="s">
        <v>549</v>
      </c>
      <c r="C794" t="s">
        <v>1349</v>
      </c>
    </row>
    <row r="795" spans="1:3">
      <c r="A795" t="s">
        <v>479</v>
      </c>
      <c r="B795" t="s">
        <v>551</v>
      </c>
      <c r="C795" t="s">
        <v>1350</v>
      </c>
    </row>
    <row r="796" spans="1:3">
      <c r="A796" t="s">
        <v>479</v>
      </c>
      <c r="B796" t="s">
        <v>553</v>
      </c>
      <c r="C796" t="s">
        <v>1351</v>
      </c>
    </row>
    <row r="797" spans="1:3">
      <c r="A797" t="s">
        <v>479</v>
      </c>
      <c r="B797" t="s">
        <v>555</v>
      </c>
      <c r="C797" t="s">
        <v>1352</v>
      </c>
    </row>
    <row r="798" spans="1:3">
      <c r="A798" t="s">
        <v>479</v>
      </c>
      <c r="B798" t="s">
        <v>557</v>
      </c>
      <c r="C798" t="s">
        <v>1353</v>
      </c>
    </row>
    <row r="799" spans="1:3">
      <c r="A799" t="s">
        <v>479</v>
      </c>
      <c r="B799" t="s">
        <v>559</v>
      </c>
      <c r="C799" t="s">
        <v>1354</v>
      </c>
    </row>
    <row r="800" spans="1:3">
      <c r="A800" t="s">
        <v>479</v>
      </c>
      <c r="B800" t="s">
        <v>561</v>
      </c>
      <c r="C800" t="s">
        <v>1355</v>
      </c>
    </row>
    <row r="801" spans="1:3">
      <c r="A801" t="s">
        <v>479</v>
      </c>
      <c r="B801" t="s">
        <v>563</v>
      </c>
      <c r="C801" t="s">
        <v>1356</v>
      </c>
    </row>
    <row r="802" spans="1:3">
      <c r="A802" t="s">
        <v>480</v>
      </c>
      <c r="B802" t="s">
        <v>549</v>
      </c>
      <c r="C802" t="s">
        <v>1357</v>
      </c>
    </row>
    <row r="803" spans="1:3">
      <c r="A803" t="s">
        <v>480</v>
      </c>
      <c r="B803" t="s">
        <v>551</v>
      </c>
      <c r="C803" t="s">
        <v>1358</v>
      </c>
    </row>
    <row r="804" spans="1:3">
      <c r="A804" t="s">
        <v>480</v>
      </c>
      <c r="B804" t="s">
        <v>553</v>
      </c>
      <c r="C804" t="s">
        <v>1359</v>
      </c>
    </row>
    <row r="805" spans="1:3">
      <c r="A805" t="s">
        <v>480</v>
      </c>
      <c r="B805" t="s">
        <v>555</v>
      </c>
      <c r="C805" t="s">
        <v>1360</v>
      </c>
    </row>
    <row r="806" spans="1:3">
      <c r="A806" t="s">
        <v>480</v>
      </c>
      <c r="B806" t="s">
        <v>557</v>
      </c>
      <c r="C806" t="s">
        <v>1361</v>
      </c>
    </row>
    <row r="807" spans="1:3">
      <c r="A807" t="s">
        <v>480</v>
      </c>
      <c r="B807" t="s">
        <v>559</v>
      </c>
      <c r="C807" t="s">
        <v>1362</v>
      </c>
    </row>
    <row r="808" spans="1:3">
      <c r="A808" t="s">
        <v>480</v>
      </c>
      <c r="B808" t="s">
        <v>561</v>
      </c>
      <c r="C808" t="s">
        <v>1363</v>
      </c>
    </row>
    <row r="809" spans="1:3">
      <c r="A809" t="s">
        <v>480</v>
      </c>
      <c r="B809" t="s">
        <v>563</v>
      </c>
      <c r="C809" t="s">
        <v>1364</v>
      </c>
    </row>
    <row r="810" spans="1:3">
      <c r="A810" t="s">
        <v>481</v>
      </c>
      <c r="B810" t="s">
        <v>549</v>
      </c>
      <c r="C810" t="s">
        <v>1365</v>
      </c>
    </row>
    <row r="811" spans="1:3">
      <c r="A811" t="s">
        <v>481</v>
      </c>
      <c r="B811" t="s">
        <v>551</v>
      </c>
      <c r="C811" t="s">
        <v>1366</v>
      </c>
    </row>
    <row r="812" spans="1:3">
      <c r="A812" t="s">
        <v>481</v>
      </c>
      <c r="B812" t="s">
        <v>553</v>
      </c>
      <c r="C812" t="s">
        <v>1367</v>
      </c>
    </row>
    <row r="813" spans="1:3">
      <c r="A813" t="s">
        <v>481</v>
      </c>
      <c r="B813" t="s">
        <v>555</v>
      </c>
      <c r="C813" t="s">
        <v>1368</v>
      </c>
    </row>
    <row r="814" spans="1:3">
      <c r="A814" t="s">
        <v>481</v>
      </c>
      <c r="B814" t="s">
        <v>557</v>
      </c>
      <c r="C814" t="s">
        <v>1369</v>
      </c>
    </row>
    <row r="815" spans="1:3">
      <c r="A815" t="s">
        <v>481</v>
      </c>
      <c r="B815" t="s">
        <v>559</v>
      </c>
      <c r="C815" t="s">
        <v>1370</v>
      </c>
    </row>
    <row r="816" spans="1:3">
      <c r="A816" t="s">
        <v>481</v>
      </c>
      <c r="B816" t="s">
        <v>561</v>
      </c>
      <c r="C816" t="s">
        <v>1371</v>
      </c>
    </row>
    <row r="817" spans="1:3">
      <c r="A817" t="s">
        <v>481</v>
      </c>
      <c r="B817" t="s">
        <v>563</v>
      </c>
      <c r="C817" t="s">
        <v>1372</v>
      </c>
    </row>
    <row r="818" spans="1:3">
      <c r="A818" t="s">
        <v>482</v>
      </c>
      <c r="B818" t="s">
        <v>549</v>
      </c>
      <c r="C818" t="s">
        <v>1373</v>
      </c>
    </row>
    <row r="819" spans="1:3">
      <c r="A819" t="s">
        <v>482</v>
      </c>
      <c r="B819" t="s">
        <v>551</v>
      </c>
      <c r="C819" t="s">
        <v>1374</v>
      </c>
    </row>
    <row r="820" spans="1:3">
      <c r="A820" t="s">
        <v>482</v>
      </c>
      <c r="B820" t="s">
        <v>553</v>
      </c>
      <c r="C820" t="s">
        <v>1375</v>
      </c>
    </row>
    <row r="821" spans="1:3">
      <c r="A821" t="s">
        <v>482</v>
      </c>
      <c r="B821" t="s">
        <v>555</v>
      </c>
      <c r="C821" t="s">
        <v>1376</v>
      </c>
    </row>
    <row r="822" spans="1:3">
      <c r="A822" t="s">
        <v>482</v>
      </c>
      <c r="B822" t="s">
        <v>557</v>
      </c>
      <c r="C822" t="s">
        <v>1377</v>
      </c>
    </row>
    <row r="823" spans="1:3">
      <c r="A823" t="s">
        <v>482</v>
      </c>
      <c r="B823" t="s">
        <v>559</v>
      </c>
      <c r="C823" t="s">
        <v>1378</v>
      </c>
    </row>
    <row r="824" spans="1:3">
      <c r="A824" t="s">
        <v>482</v>
      </c>
      <c r="B824" t="s">
        <v>561</v>
      </c>
      <c r="C824" t="s">
        <v>1379</v>
      </c>
    </row>
    <row r="825" spans="1:3">
      <c r="A825" t="s">
        <v>482</v>
      </c>
      <c r="B825" t="s">
        <v>563</v>
      </c>
      <c r="C825" t="s">
        <v>1380</v>
      </c>
    </row>
    <row r="826" spans="1:3">
      <c r="A826" t="s">
        <v>483</v>
      </c>
      <c r="B826" t="s">
        <v>549</v>
      </c>
      <c r="C826" t="s">
        <v>1381</v>
      </c>
    </row>
    <row r="827" spans="1:3">
      <c r="A827" t="s">
        <v>483</v>
      </c>
      <c r="B827" t="s">
        <v>551</v>
      </c>
      <c r="C827" t="s">
        <v>1382</v>
      </c>
    </row>
    <row r="828" spans="1:3">
      <c r="A828" t="s">
        <v>483</v>
      </c>
      <c r="B828" t="s">
        <v>553</v>
      </c>
      <c r="C828" t="s">
        <v>1383</v>
      </c>
    </row>
    <row r="829" spans="1:3">
      <c r="A829" t="s">
        <v>483</v>
      </c>
      <c r="B829" t="s">
        <v>555</v>
      </c>
      <c r="C829" t="s">
        <v>1384</v>
      </c>
    </row>
    <row r="830" spans="1:3">
      <c r="A830" t="s">
        <v>483</v>
      </c>
      <c r="B830" t="s">
        <v>557</v>
      </c>
      <c r="C830" t="s">
        <v>1385</v>
      </c>
    </row>
    <row r="831" spans="1:3">
      <c r="A831" t="s">
        <v>483</v>
      </c>
      <c r="B831" t="s">
        <v>559</v>
      </c>
      <c r="C831" t="s">
        <v>1386</v>
      </c>
    </row>
    <row r="832" spans="1:3">
      <c r="A832" t="s">
        <v>483</v>
      </c>
      <c r="B832" t="s">
        <v>561</v>
      </c>
      <c r="C832" t="s">
        <v>1387</v>
      </c>
    </row>
    <row r="833" spans="1:3">
      <c r="A833" t="s">
        <v>483</v>
      </c>
      <c r="B833" t="s">
        <v>563</v>
      </c>
      <c r="C833" t="s">
        <v>1388</v>
      </c>
    </row>
    <row r="834" spans="1:3">
      <c r="A834" t="s">
        <v>484</v>
      </c>
      <c r="B834" t="s">
        <v>549</v>
      </c>
      <c r="C834" t="s">
        <v>1389</v>
      </c>
    </row>
    <row r="835" spans="1:3">
      <c r="A835" t="s">
        <v>484</v>
      </c>
      <c r="B835" t="s">
        <v>551</v>
      </c>
      <c r="C835" t="s">
        <v>1390</v>
      </c>
    </row>
    <row r="836" spans="1:3">
      <c r="A836" t="s">
        <v>484</v>
      </c>
      <c r="B836" t="s">
        <v>553</v>
      </c>
      <c r="C836" t="s">
        <v>1391</v>
      </c>
    </row>
    <row r="837" spans="1:3">
      <c r="A837" t="s">
        <v>484</v>
      </c>
      <c r="B837" t="s">
        <v>555</v>
      </c>
      <c r="C837" t="s">
        <v>1392</v>
      </c>
    </row>
    <row r="838" spans="1:3">
      <c r="A838" t="s">
        <v>484</v>
      </c>
      <c r="B838" t="s">
        <v>557</v>
      </c>
      <c r="C838" t="s">
        <v>1393</v>
      </c>
    </row>
    <row r="839" spans="1:3">
      <c r="A839" t="s">
        <v>484</v>
      </c>
      <c r="B839" t="s">
        <v>559</v>
      </c>
      <c r="C839" t="s">
        <v>1394</v>
      </c>
    </row>
    <row r="840" spans="1:3">
      <c r="A840" t="s">
        <v>484</v>
      </c>
      <c r="B840" t="s">
        <v>561</v>
      </c>
      <c r="C840" t="s">
        <v>1395</v>
      </c>
    </row>
    <row r="841" spans="1:3">
      <c r="A841" t="s">
        <v>484</v>
      </c>
      <c r="B841" t="s">
        <v>563</v>
      </c>
      <c r="C841" t="s">
        <v>1396</v>
      </c>
    </row>
    <row r="842" spans="1:3">
      <c r="A842" t="s">
        <v>485</v>
      </c>
      <c r="B842" t="s">
        <v>549</v>
      </c>
      <c r="C842" t="s">
        <v>1397</v>
      </c>
    </row>
    <row r="843" spans="1:3">
      <c r="A843" t="s">
        <v>485</v>
      </c>
      <c r="B843" t="s">
        <v>551</v>
      </c>
      <c r="C843" t="s">
        <v>1398</v>
      </c>
    </row>
    <row r="844" spans="1:3">
      <c r="A844" t="s">
        <v>485</v>
      </c>
      <c r="B844" t="s">
        <v>553</v>
      </c>
      <c r="C844" t="s">
        <v>1399</v>
      </c>
    </row>
    <row r="845" spans="1:3">
      <c r="A845" t="s">
        <v>485</v>
      </c>
      <c r="B845" t="s">
        <v>555</v>
      </c>
      <c r="C845" t="s">
        <v>1400</v>
      </c>
    </row>
    <row r="846" spans="1:3">
      <c r="A846" t="s">
        <v>485</v>
      </c>
      <c r="B846" t="s">
        <v>557</v>
      </c>
      <c r="C846" t="s">
        <v>1401</v>
      </c>
    </row>
    <row r="847" spans="1:3">
      <c r="A847" t="s">
        <v>485</v>
      </c>
      <c r="B847" t="s">
        <v>559</v>
      </c>
      <c r="C847" t="s">
        <v>1402</v>
      </c>
    </row>
    <row r="848" spans="1:3">
      <c r="A848" t="s">
        <v>485</v>
      </c>
      <c r="B848" t="s">
        <v>561</v>
      </c>
      <c r="C848" t="s">
        <v>1403</v>
      </c>
    </row>
    <row r="849" spans="1:3">
      <c r="A849" t="s">
        <v>485</v>
      </c>
      <c r="B849" t="s">
        <v>563</v>
      </c>
      <c r="C849" t="s">
        <v>1404</v>
      </c>
    </row>
    <row r="850" spans="1:3">
      <c r="A850" t="s">
        <v>486</v>
      </c>
      <c r="B850" t="s">
        <v>549</v>
      </c>
      <c r="C850" t="s">
        <v>1405</v>
      </c>
    </row>
    <row r="851" spans="1:3">
      <c r="A851" t="s">
        <v>486</v>
      </c>
      <c r="B851" t="s">
        <v>551</v>
      </c>
      <c r="C851" t="s">
        <v>1406</v>
      </c>
    </row>
    <row r="852" spans="1:3">
      <c r="A852" t="s">
        <v>486</v>
      </c>
      <c r="B852" t="s">
        <v>553</v>
      </c>
      <c r="C852" t="s">
        <v>1407</v>
      </c>
    </row>
    <row r="853" spans="1:3">
      <c r="A853" t="s">
        <v>486</v>
      </c>
      <c r="B853" t="s">
        <v>555</v>
      </c>
      <c r="C853" t="s">
        <v>1408</v>
      </c>
    </row>
    <row r="854" spans="1:3">
      <c r="A854" t="s">
        <v>486</v>
      </c>
      <c r="B854" t="s">
        <v>557</v>
      </c>
      <c r="C854" t="s">
        <v>1409</v>
      </c>
    </row>
    <row r="855" spans="1:3">
      <c r="A855" t="s">
        <v>486</v>
      </c>
      <c r="B855" t="s">
        <v>559</v>
      </c>
      <c r="C855" t="s">
        <v>1410</v>
      </c>
    </row>
    <row r="856" spans="1:3">
      <c r="A856" t="s">
        <v>486</v>
      </c>
      <c r="B856" t="s">
        <v>561</v>
      </c>
      <c r="C856" t="s">
        <v>1411</v>
      </c>
    </row>
    <row r="857" spans="1:3">
      <c r="A857" t="s">
        <v>486</v>
      </c>
      <c r="B857" t="s">
        <v>563</v>
      </c>
      <c r="C857" t="s">
        <v>1412</v>
      </c>
    </row>
    <row r="858" spans="1:3">
      <c r="A858" t="s">
        <v>487</v>
      </c>
      <c r="B858" t="s">
        <v>549</v>
      </c>
      <c r="C858" t="s">
        <v>1413</v>
      </c>
    </row>
    <row r="859" spans="1:3">
      <c r="A859" t="s">
        <v>487</v>
      </c>
      <c r="B859" t="s">
        <v>551</v>
      </c>
      <c r="C859" t="s">
        <v>1414</v>
      </c>
    </row>
    <row r="860" spans="1:3">
      <c r="A860" t="s">
        <v>487</v>
      </c>
      <c r="B860" t="s">
        <v>553</v>
      </c>
      <c r="C860" t="s">
        <v>1415</v>
      </c>
    </row>
    <row r="861" spans="1:3">
      <c r="A861" t="s">
        <v>487</v>
      </c>
      <c r="B861" t="s">
        <v>555</v>
      </c>
      <c r="C861" t="s">
        <v>1416</v>
      </c>
    </row>
    <row r="862" spans="1:3">
      <c r="A862" t="s">
        <v>487</v>
      </c>
      <c r="B862" t="s">
        <v>557</v>
      </c>
      <c r="C862" t="s">
        <v>1417</v>
      </c>
    </row>
    <row r="863" spans="1:3">
      <c r="A863" t="s">
        <v>487</v>
      </c>
      <c r="B863" t="s">
        <v>559</v>
      </c>
      <c r="C863" t="s">
        <v>1418</v>
      </c>
    </row>
    <row r="864" spans="1:3">
      <c r="A864" t="s">
        <v>487</v>
      </c>
      <c r="B864" t="s">
        <v>561</v>
      </c>
      <c r="C864" t="s">
        <v>1419</v>
      </c>
    </row>
    <row r="865" spans="1:3">
      <c r="A865" t="s">
        <v>487</v>
      </c>
      <c r="B865" t="s">
        <v>563</v>
      </c>
      <c r="C865" t="s">
        <v>1420</v>
      </c>
    </row>
    <row r="866" spans="1:3">
      <c r="A866" t="s">
        <v>488</v>
      </c>
      <c r="B866" t="s">
        <v>549</v>
      </c>
      <c r="C866" t="s">
        <v>1421</v>
      </c>
    </row>
    <row r="867" spans="1:3">
      <c r="A867" t="s">
        <v>488</v>
      </c>
      <c r="B867" t="s">
        <v>551</v>
      </c>
      <c r="C867" t="s">
        <v>1422</v>
      </c>
    </row>
    <row r="868" spans="1:3">
      <c r="A868" t="s">
        <v>488</v>
      </c>
      <c r="B868" t="s">
        <v>553</v>
      </c>
      <c r="C868" t="s">
        <v>1423</v>
      </c>
    </row>
    <row r="869" spans="1:3">
      <c r="A869" t="s">
        <v>488</v>
      </c>
      <c r="B869" t="s">
        <v>555</v>
      </c>
      <c r="C869" t="s">
        <v>1424</v>
      </c>
    </row>
    <row r="870" spans="1:3">
      <c r="A870" t="s">
        <v>488</v>
      </c>
      <c r="B870" t="s">
        <v>557</v>
      </c>
      <c r="C870" t="s">
        <v>1425</v>
      </c>
    </row>
    <row r="871" spans="1:3">
      <c r="A871" t="s">
        <v>488</v>
      </c>
      <c r="B871" t="s">
        <v>559</v>
      </c>
      <c r="C871" t="s">
        <v>1426</v>
      </c>
    </row>
    <row r="872" spans="1:3">
      <c r="A872" t="s">
        <v>488</v>
      </c>
      <c r="B872" t="s">
        <v>561</v>
      </c>
      <c r="C872" t="s">
        <v>1427</v>
      </c>
    </row>
    <row r="873" spans="1:3">
      <c r="A873" t="s">
        <v>488</v>
      </c>
      <c r="B873" t="s">
        <v>563</v>
      </c>
      <c r="C873" t="s">
        <v>1428</v>
      </c>
    </row>
    <row r="874" spans="1:3">
      <c r="A874" t="s">
        <v>489</v>
      </c>
      <c r="B874" t="s">
        <v>549</v>
      </c>
      <c r="C874" t="s">
        <v>1429</v>
      </c>
    </row>
    <row r="875" spans="1:3">
      <c r="A875" t="s">
        <v>489</v>
      </c>
      <c r="B875" t="s">
        <v>551</v>
      </c>
      <c r="C875" t="s">
        <v>1430</v>
      </c>
    </row>
    <row r="876" spans="1:3">
      <c r="A876" t="s">
        <v>489</v>
      </c>
      <c r="B876" t="s">
        <v>553</v>
      </c>
      <c r="C876" t="s">
        <v>1431</v>
      </c>
    </row>
    <row r="877" spans="1:3">
      <c r="A877" t="s">
        <v>489</v>
      </c>
      <c r="B877" t="s">
        <v>555</v>
      </c>
      <c r="C877" t="s">
        <v>1432</v>
      </c>
    </row>
    <row r="878" spans="1:3">
      <c r="A878" t="s">
        <v>489</v>
      </c>
      <c r="B878" t="s">
        <v>557</v>
      </c>
      <c r="C878" t="s">
        <v>1433</v>
      </c>
    </row>
    <row r="879" spans="1:3">
      <c r="A879" t="s">
        <v>489</v>
      </c>
      <c r="B879" t="s">
        <v>559</v>
      </c>
      <c r="C879" t="s">
        <v>1434</v>
      </c>
    </row>
    <row r="880" spans="1:3">
      <c r="A880" t="s">
        <v>489</v>
      </c>
      <c r="B880" t="s">
        <v>561</v>
      </c>
      <c r="C880" t="s">
        <v>1435</v>
      </c>
    </row>
    <row r="881" spans="1:3">
      <c r="A881" t="s">
        <v>489</v>
      </c>
      <c r="B881" t="s">
        <v>563</v>
      </c>
      <c r="C881" t="s">
        <v>1436</v>
      </c>
    </row>
    <row r="882" spans="1:3">
      <c r="A882" t="s">
        <v>490</v>
      </c>
      <c r="B882" t="s">
        <v>549</v>
      </c>
      <c r="C882" t="s">
        <v>1437</v>
      </c>
    </row>
    <row r="883" spans="1:3">
      <c r="A883" t="s">
        <v>490</v>
      </c>
      <c r="B883" t="s">
        <v>551</v>
      </c>
      <c r="C883" t="s">
        <v>1438</v>
      </c>
    </row>
    <row r="884" spans="1:3">
      <c r="A884" t="s">
        <v>490</v>
      </c>
      <c r="B884" t="s">
        <v>553</v>
      </c>
      <c r="C884" t="s">
        <v>1439</v>
      </c>
    </row>
    <row r="885" spans="1:3">
      <c r="A885" t="s">
        <v>490</v>
      </c>
      <c r="B885" t="s">
        <v>555</v>
      </c>
      <c r="C885" t="s">
        <v>1440</v>
      </c>
    </row>
    <row r="886" spans="1:3">
      <c r="A886" t="s">
        <v>490</v>
      </c>
      <c r="B886" t="s">
        <v>557</v>
      </c>
      <c r="C886" t="s">
        <v>1441</v>
      </c>
    </row>
    <row r="887" spans="1:3">
      <c r="A887" t="s">
        <v>490</v>
      </c>
      <c r="B887" t="s">
        <v>559</v>
      </c>
      <c r="C887" t="s">
        <v>1442</v>
      </c>
    </row>
    <row r="888" spans="1:3">
      <c r="A888" t="s">
        <v>490</v>
      </c>
      <c r="B888" t="s">
        <v>561</v>
      </c>
      <c r="C888" t="s">
        <v>1443</v>
      </c>
    </row>
    <row r="889" spans="1:3">
      <c r="A889" t="s">
        <v>490</v>
      </c>
      <c r="B889" t="s">
        <v>563</v>
      </c>
      <c r="C889" t="s">
        <v>1444</v>
      </c>
    </row>
    <row r="890" spans="1:3">
      <c r="A890" t="s">
        <v>491</v>
      </c>
      <c r="B890" t="s">
        <v>549</v>
      </c>
      <c r="C890" t="s">
        <v>1445</v>
      </c>
    </row>
    <row r="891" spans="1:3">
      <c r="A891" t="s">
        <v>491</v>
      </c>
      <c r="B891" t="s">
        <v>551</v>
      </c>
      <c r="C891" t="s">
        <v>1446</v>
      </c>
    </row>
    <row r="892" spans="1:3">
      <c r="A892" t="s">
        <v>491</v>
      </c>
      <c r="B892" t="s">
        <v>553</v>
      </c>
      <c r="C892" t="s">
        <v>1447</v>
      </c>
    </row>
    <row r="893" spans="1:3">
      <c r="A893" t="s">
        <v>491</v>
      </c>
      <c r="B893" t="s">
        <v>555</v>
      </c>
      <c r="C893" t="s">
        <v>1448</v>
      </c>
    </row>
    <row r="894" spans="1:3">
      <c r="A894" t="s">
        <v>491</v>
      </c>
      <c r="B894" t="s">
        <v>557</v>
      </c>
      <c r="C894" t="s">
        <v>1449</v>
      </c>
    </row>
    <row r="895" spans="1:3">
      <c r="A895" t="s">
        <v>491</v>
      </c>
      <c r="B895" t="s">
        <v>559</v>
      </c>
      <c r="C895" t="s">
        <v>1450</v>
      </c>
    </row>
    <row r="896" spans="1:3">
      <c r="A896" t="s">
        <v>491</v>
      </c>
      <c r="B896" t="s">
        <v>561</v>
      </c>
      <c r="C896" t="s">
        <v>1451</v>
      </c>
    </row>
    <row r="897" spans="1:3">
      <c r="A897" t="s">
        <v>491</v>
      </c>
      <c r="B897" t="s">
        <v>563</v>
      </c>
      <c r="C897" t="s">
        <v>1452</v>
      </c>
    </row>
    <row r="898" spans="1:3">
      <c r="A898" t="s">
        <v>492</v>
      </c>
      <c r="B898" t="s">
        <v>549</v>
      </c>
      <c r="C898" t="s">
        <v>1453</v>
      </c>
    </row>
    <row r="899" spans="1:3">
      <c r="A899" t="s">
        <v>492</v>
      </c>
      <c r="B899" t="s">
        <v>551</v>
      </c>
      <c r="C899" t="s">
        <v>1454</v>
      </c>
    </row>
    <row r="900" spans="1:3">
      <c r="A900" t="s">
        <v>492</v>
      </c>
      <c r="B900" t="s">
        <v>553</v>
      </c>
      <c r="C900" t="s">
        <v>1455</v>
      </c>
    </row>
    <row r="901" spans="1:3">
      <c r="A901" t="s">
        <v>492</v>
      </c>
      <c r="B901" t="s">
        <v>555</v>
      </c>
      <c r="C901" t="s">
        <v>1456</v>
      </c>
    </row>
    <row r="902" spans="1:3">
      <c r="A902" t="s">
        <v>492</v>
      </c>
      <c r="B902" t="s">
        <v>557</v>
      </c>
      <c r="C902" t="s">
        <v>1457</v>
      </c>
    </row>
    <row r="903" spans="1:3">
      <c r="A903" t="s">
        <v>492</v>
      </c>
      <c r="B903" t="s">
        <v>559</v>
      </c>
      <c r="C903" t="s">
        <v>1458</v>
      </c>
    </row>
    <row r="904" spans="1:3">
      <c r="A904" t="s">
        <v>492</v>
      </c>
      <c r="B904" t="s">
        <v>561</v>
      </c>
      <c r="C904" t="s">
        <v>1459</v>
      </c>
    </row>
    <row r="905" spans="1:3">
      <c r="A905" t="s">
        <v>492</v>
      </c>
      <c r="B905" t="s">
        <v>563</v>
      </c>
      <c r="C905" t="s">
        <v>1460</v>
      </c>
    </row>
    <row r="906" spans="1:3">
      <c r="A906" t="s">
        <v>493</v>
      </c>
      <c r="B906" t="s">
        <v>549</v>
      </c>
      <c r="C906" t="s">
        <v>1461</v>
      </c>
    </row>
    <row r="907" spans="1:3">
      <c r="A907" t="s">
        <v>493</v>
      </c>
      <c r="B907" t="s">
        <v>551</v>
      </c>
      <c r="C907" t="s">
        <v>1462</v>
      </c>
    </row>
    <row r="908" spans="1:3">
      <c r="A908" t="s">
        <v>493</v>
      </c>
      <c r="B908" t="s">
        <v>553</v>
      </c>
      <c r="C908" t="s">
        <v>1463</v>
      </c>
    </row>
    <row r="909" spans="1:3">
      <c r="A909" t="s">
        <v>493</v>
      </c>
      <c r="B909" t="s">
        <v>555</v>
      </c>
      <c r="C909" t="s">
        <v>1464</v>
      </c>
    </row>
    <row r="910" spans="1:3">
      <c r="A910" t="s">
        <v>493</v>
      </c>
      <c r="B910" t="s">
        <v>557</v>
      </c>
      <c r="C910" t="s">
        <v>1465</v>
      </c>
    </row>
    <row r="911" spans="1:3">
      <c r="A911" t="s">
        <v>493</v>
      </c>
      <c r="B911" t="s">
        <v>559</v>
      </c>
      <c r="C911" t="s">
        <v>1466</v>
      </c>
    </row>
    <row r="912" spans="1:3">
      <c r="A912" t="s">
        <v>493</v>
      </c>
      <c r="B912" t="s">
        <v>561</v>
      </c>
      <c r="C912" t="s">
        <v>1467</v>
      </c>
    </row>
    <row r="913" spans="1:3">
      <c r="A913" t="s">
        <v>493</v>
      </c>
      <c r="B913" t="s">
        <v>563</v>
      </c>
      <c r="C913" t="s">
        <v>1468</v>
      </c>
    </row>
    <row r="914" spans="1:3">
      <c r="A914" t="s">
        <v>494</v>
      </c>
      <c r="B914" t="s">
        <v>549</v>
      </c>
      <c r="C914" t="s">
        <v>1469</v>
      </c>
    </row>
    <row r="915" spans="1:3">
      <c r="A915" t="s">
        <v>494</v>
      </c>
      <c r="B915" t="s">
        <v>551</v>
      </c>
      <c r="C915" t="s">
        <v>1470</v>
      </c>
    </row>
    <row r="916" spans="1:3">
      <c r="A916" t="s">
        <v>494</v>
      </c>
      <c r="B916" t="s">
        <v>553</v>
      </c>
      <c r="C916" t="s">
        <v>1471</v>
      </c>
    </row>
    <row r="917" spans="1:3">
      <c r="A917" t="s">
        <v>494</v>
      </c>
      <c r="B917" t="s">
        <v>555</v>
      </c>
      <c r="C917" t="s">
        <v>1472</v>
      </c>
    </row>
    <row r="918" spans="1:3">
      <c r="A918" t="s">
        <v>494</v>
      </c>
      <c r="B918" t="s">
        <v>557</v>
      </c>
      <c r="C918" t="s">
        <v>1473</v>
      </c>
    </row>
    <row r="919" spans="1:3">
      <c r="A919" t="s">
        <v>494</v>
      </c>
      <c r="B919" t="s">
        <v>559</v>
      </c>
      <c r="C919" t="s">
        <v>1474</v>
      </c>
    </row>
    <row r="920" spans="1:3">
      <c r="A920" t="s">
        <v>494</v>
      </c>
      <c r="B920" t="s">
        <v>561</v>
      </c>
      <c r="C920" t="s">
        <v>1475</v>
      </c>
    </row>
    <row r="921" spans="1:3">
      <c r="A921" t="s">
        <v>494</v>
      </c>
      <c r="B921" t="s">
        <v>563</v>
      </c>
      <c r="C921" t="s">
        <v>1476</v>
      </c>
    </row>
    <row r="922" spans="1:3">
      <c r="A922" t="s">
        <v>495</v>
      </c>
      <c r="B922" t="s">
        <v>549</v>
      </c>
      <c r="C922" t="s">
        <v>1477</v>
      </c>
    </row>
    <row r="923" spans="1:3">
      <c r="A923" t="s">
        <v>495</v>
      </c>
      <c r="B923" t="s">
        <v>551</v>
      </c>
      <c r="C923" t="s">
        <v>1478</v>
      </c>
    </row>
    <row r="924" spans="1:3">
      <c r="A924" t="s">
        <v>495</v>
      </c>
      <c r="B924" t="s">
        <v>553</v>
      </c>
      <c r="C924" t="s">
        <v>1479</v>
      </c>
    </row>
    <row r="925" spans="1:3">
      <c r="A925" t="s">
        <v>495</v>
      </c>
      <c r="B925" t="s">
        <v>555</v>
      </c>
      <c r="C925" t="s">
        <v>1480</v>
      </c>
    </row>
    <row r="926" spans="1:3">
      <c r="A926" t="s">
        <v>495</v>
      </c>
      <c r="B926" t="s">
        <v>557</v>
      </c>
      <c r="C926" t="s">
        <v>1481</v>
      </c>
    </row>
    <row r="927" spans="1:3">
      <c r="A927" t="s">
        <v>495</v>
      </c>
      <c r="B927" t="s">
        <v>559</v>
      </c>
      <c r="C927" t="s">
        <v>1482</v>
      </c>
    </row>
    <row r="928" spans="1:3">
      <c r="A928" t="s">
        <v>495</v>
      </c>
      <c r="B928" t="s">
        <v>561</v>
      </c>
      <c r="C928" t="s">
        <v>1483</v>
      </c>
    </row>
    <row r="929" spans="1:3">
      <c r="A929" t="s">
        <v>495</v>
      </c>
      <c r="B929" t="s">
        <v>563</v>
      </c>
      <c r="C929" t="s">
        <v>1484</v>
      </c>
    </row>
    <row r="930" spans="1:3">
      <c r="A930" t="s">
        <v>496</v>
      </c>
      <c r="B930" t="s">
        <v>549</v>
      </c>
      <c r="C930" t="s">
        <v>1485</v>
      </c>
    </row>
    <row r="931" spans="1:3">
      <c r="A931" t="s">
        <v>496</v>
      </c>
      <c r="B931" t="s">
        <v>551</v>
      </c>
      <c r="C931" t="s">
        <v>1486</v>
      </c>
    </row>
    <row r="932" spans="1:3">
      <c r="A932" t="s">
        <v>496</v>
      </c>
      <c r="B932" t="s">
        <v>553</v>
      </c>
      <c r="C932" t="s">
        <v>1487</v>
      </c>
    </row>
    <row r="933" spans="1:3">
      <c r="A933" t="s">
        <v>496</v>
      </c>
      <c r="B933" t="s">
        <v>555</v>
      </c>
      <c r="C933" t="s">
        <v>1488</v>
      </c>
    </row>
    <row r="934" spans="1:3">
      <c r="A934" t="s">
        <v>496</v>
      </c>
      <c r="B934" t="s">
        <v>557</v>
      </c>
      <c r="C934" t="s">
        <v>1489</v>
      </c>
    </row>
    <row r="935" spans="1:3">
      <c r="A935" t="s">
        <v>496</v>
      </c>
      <c r="B935" t="s">
        <v>559</v>
      </c>
      <c r="C935" t="s">
        <v>1490</v>
      </c>
    </row>
    <row r="936" spans="1:3">
      <c r="A936" t="s">
        <v>496</v>
      </c>
      <c r="B936" t="s">
        <v>561</v>
      </c>
      <c r="C936" t="s">
        <v>1491</v>
      </c>
    </row>
    <row r="937" spans="1:3">
      <c r="A937" t="s">
        <v>496</v>
      </c>
      <c r="B937" t="s">
        <v>563</v>
      </c>
      <c r="C937" t="s">
        <v>1492</v>
      </c>
    </row>
    <row r="938" spans="1:3">
      <c r="A938" t="s">
        <v>497</v>
      </c>
      <c r="B938" t="s">
        <v>549</v>
      </c>
      <c r="C938" t="s">
        <v>1493</v>
      </c>
    </row>
    <row r="939" spans="1:3">
      <c r="A939" t="s">
        <v>497</v>
      </c>
      <c r="B939" t="s">
        <v>551</v>
      </c>
      <c r="C939" t="s">
        <v>1494</v>
      </c>
    </row>
    <row r="940" spans="1:3">
      <c r="A940" t="s">
        <v>497</v>
      </c>
      <c r="B940" t="s">
        <v>553</v>
      </c>
      <c r="C940" t="s">
        <v>1495</v>
      </c>
    </row>
    <row r="941" spans="1:3">
      <c r="A941" t="s">
        <v>497</v>
      </c>
      <c r="B941" t="s">
        <v>555</v>
      </c>
      <c r="C941" t="s">
        <v>1496</v>
      </c>
    </row>
    <row r="942" spans="1:3">
      <c r="A942" t="s">
        <v>497</v>
      </c>
      <c r="B942" t="s">
        <v>557</v>
      </c>
      <c r="C942" t="s">
        <v>1497</v>
      </c>
    </row>
    <row r="943" spans="1:3">
      <c r="A943" t="s">
        <v>497</v>
      </c>
      <c r="B943" t="s">
        <v>559</v>
      </c>
      <c r="C943" t="s">
        <v>1498</v>
      </c>
    </row>
    <row r="944" spans="1:3">
      <c r="A944" t="s">
        <v>497</v>
      </c>
      <c r="B944" t="s">
        <v>561</v>
      </c>
      <c r="C944" t="s">
        <v>1499</v>
      </c>
    </row>
    <row r="945" spans="1:3">
      <c r="A945" t="s">
        <v>497</v>
      </c>
      <c r="B945" t="s">
        <v>563</v>
      </c>
      <c r="C945" t="s">
        <v>1500</v>
      </c>
    </row>
    <row r="946" spans="1:3">
      <c r="A946" t="s">
        <v>498</v>
      </c>
      <c r="B946" t="s">
        <v>549</v>
      </c>
      <c r="C946" t="s">
        <v>1501</v>
      </c>
    </row>
    <row r="947" spans="1:3">
      <c r="A947" t="s">
        <v>498</v>
      </c>
      <c r="B947" t="s">
        <v>551</v>
      </c>
      <c r="C947" t="s">
        <v>1502</v>
      </c>
    </row>
    <row r="948" spans="1:3">
      <c r="A948" t="s">
        <v>498</v>
      </c>
      <c r="B948" t="s">
        <v>553</v>
      </c>
      <c r="C948" t="s">
        <v>1503</v>
      </c>
    </row>
    <row r="949" spans="1:3">
      <c r="A949" t="s">
        <v>498</v>
      </c>
      <c r="B949" t="s">
        <v>555</v>
      </c>
      <c r="C949" t="s">
        <v>1504</v>
      </c>
    </row>
    <row r="950" spans="1:3">
      <c r="A950" t="s">
        <v>498</v>
      </c>
      <c r="B950" t="s">
        <v>557</v>
      </c>
      <c r="C950" t="s">
        <v>1505</v>
      </c>
    </row>
    <row r="951" spans="1:3">
      <c r="A951" t="s">
        <v>498</v>
      </c>
      <c r="B951" t="s">
        <v>559</v>
      </c>
      <c r="C951" t="s">
        <v>1506</v>
      </c>
    </row>
    <row r="952" spans="1:3">
      <c r="A952" t="s">
        <v>498</v>
      </c>
      <c r="B952" t="s">
        <v>561</v>
      </c>
      <c r="C952" t="s">
        <v>1507</v>
      </c>
    </row>
    <row r="953" spans="1:3">
      <c r="A953" t="s">
        <v>498</v>
      </c>
      <c r="B953" t="s">
        <v>563</v>
      </c>
      <c r="C953" t="s">
        <v>1508</v>
      </c>
    </row>
    <row r="954" spans="1:3">
      <c r="A954" t="s">
        <v>499</v>
      </c>
      <c r="B954" t="s">
        <v>549</v>
      </c>
      <c r="C954" t="s">
        <v>1509</v>
      </c>
    </row>
    <row r="955" spans="1:3">
      <c r="A955" t="s">
        <v>499</v>
      </c>
      <c r="B955" t="s">
        <v>551</v>
      </c>
      <c r="C955" t="s">
        <v>1510</v>
      </c>
    </row>
    <row r="956" spans="1:3">
      <c r="A956" t="s">
        <v>499</v>
      </c>
      <c r="B956" t="s">
        <v>553</v>
      </c>
      <c r="C956" t="s">
        <v>1511</v>
      </c>
    </row>
    <row r="957" spans="1:3">
      <c r="A957" t="s">
        <v>499</v>
      </c>
      <c r="B957" t="s">
        <v>555</v>
      </c>
      <c r="C957" t="s">
        <v>1512</v>
      </c>
    </row>
    <row r="958" spans="1:3">
      <c r="A958" t="s">
        <v>499</v>
      </c>
      <c r="B958" t="s">
        <v>557</v>
      </c>
      <c r="C958" t="s">
        <v>1513</v>
      </c>
    </row>
    <row r="959" spans="1:3">
      <c r="A959" t="s">
        <v>499</v>
      </c>
      <c r="B959" t="s">
        <v>559</v>
      </c>
      <c r="C959" t="s">
        <v>1514</v>
      </c>
    </row>
    <row r="960" spans="1:3">
      <c r="A960" t="s">
        <v>499</v>
      </c>
      <c r="B960" t="s">
        <v>561</v>
      </c>
      <c r="C960" t="s">
        <v>1515</v>
      </c>
    </row>
    <row r="961" spans="1:3">
      <c r="A961" t="s">
        <v>499</v>
      </c>
      <c r="B961" t="s">
        <v>563</v>
      </c>
      <c r="C961" t="s">
        <v>1516</v>
      </c>
    </row>
    <row r="962" spans="1:3">
      <c r="A962" t="s">
        <v>500</v>
      </c>
      <c r="B962" t="s">
        <v>549</v>
      </c>
      <c r="C962" t="s">
        <v>1517</v>
      </c>
    </row>
    <row r="963" spans="1:3">
      <c r="A963" t="s">
        <v>500</v>
      </c>
      <c r="B963" t="s">
        <v>551</v>
      </c>
      <c r="C963" t="s">
        <v>1518</v>
      </c>
    </row>
    <row r="964" spans="1:3">
      <c r="A964" t="s">
        <v>500</v>
      </c>
      <c r="B964" t="s">
        <v>553</v>
      </c>
      <c r="C964" t="s">
        <v>1519</v>
      </c>
    </row>
    <row r="965" spans="1:3">
      <c r="A965" t="s">
        <v>500</v>
      </c>
      <c r="B965" t="s">
        <v>555</v>
      </c>
      <c r="C965" t="s">
        <v>1520</v>
      </c>
    </row>
    <row r="966" spans="1:3">
      <c r="A966" t="s">
        <v>500</v>
      </c>
      <c r="B966" t="s">
        <v>557</v>
      </c>
      <c r="C966" t="s">
        <v>1521</v>
      </c>
    </row>
    <row r="967" spans="1:3">
      <c r="A967" t="s">
        <v>500</v>
      </c>
      <c r="B967" t="s">
        <v>559</v>
      </c>
      <c r="C967" t="s">
        <v>1522</v>
      </c>
    </row>
    <row r="968" spans="1:3">
      <c r="A968" t="s">
        <v>500</v>
      </c>
      <c r="B968" t="s">
        <v>561</v>
      </c>
      <c r="C968" t="s">
        <v>1523</v>
      </c>
    </row>
    <row r="969" spans="1:3">
      <c r="A969" t="s">
        <v>500</v>
      </c>
      <c r="B969" t="s">
        <v>563</v>
      </c>
      <c r="C969" t="s">
        <v>1524</v>
      </c>
    </row>
    <row r="970" spans="1:3">
      <c r="A970" t="s">
        <v>501</v>
      </c>
      <c r="B970" t="s">
        <v>549</v>
      </c>
      <c r="C970" t="s">
        <v>1525</v>
      </c>
    </row>
    <row r="971" spans="1:3">
      <c r="A971" t="s">
        <v>501</v>
      </c>
      <c r="B971" t="s">
        <v>551</v>
      </c>
      <c r="C971" t="s">
        <v>1526</v>
      </c>
    </row>
    <row r="972" spans="1:3">
      <c r="A972" t="s">
        <v>501</v>
      </c>
      <c r="B972" t="s">
        <v>553</v>
      </c>
      <c r="C972" t="s">
        <v>1527</v>
      </c>
    </row>
    <row r="973" spans="1:3">
      <c r="A973" t="s">
        <v>501</v>
      </c>
      <c r="B973" t="s">
        <v>555</v>
      </c>
      <c r="C973" t="s">
        <v>1528</v>
      </c>
    </row>
    <row r="974" spans="1:3">
      <c r="A974" t="s">
        <v>501</v>
      </c>
      <c r="B974" t="s">
        <v>557</v>
      </c>
      <c r="C974" t="s">
        <v>1529</v>
      </c>
    </row>
    <row r="975" spans="1:3">
      <c r="A975" t="s">
        <v>501</v>
      </c>
      <c r="B975" t="s">
        <v>559</v>
      </c>
      <c r="C975" t="s">
        <v>1530</v>
      </c>
    </row>
    <row r="976" spans="1:3">
      <c r="A976" t="s">
        <v>501</v>
      </c>
      <c r="B976" t="s">
        <v>561</v>
      </c>
      <c r="C976" t="s">
        <v>1531</v>
      </c>
    </row>
    <row r="977" spans="1:3">
      <c r="A977" t="s">
        <v>501</v>
      </c>
      <c r="B977" t="s">
        <v>563</v>
      </c>
      <c r="C977" t="s">
        <v>1532</v>
      </c>
    </row>
    <row r="978" spans="1:3">
      <c r="A978" t="s">
        <v>502</v>
      </c>
      <c r="B978" t="s">
        <v>549</v>
      </c>
      <c r="C978" t="s">
        <v>1533</v>
      </c>
    </row>
    <row r="979" spans="1:3">
      <c r="A979" t="s">
        <v>502</v>
      </c>
      <c r="B979" t="s">
        <v>551</v>
      </c>
      <c r="C979" t="s">
        <v>1534</v>
      </c>
    </row>
    <row r="980" spans="1:3">
      <c r="A980" t="s">
        <v>502</v>
      </c>
      <c r="B980" t="s">
        <v>553</v>
      </c>
      <c r="C980" t="s">
        <v>1535</v>
      </c>
    </row>
    <row r="981" spans="1:3">
      <c r="A981" t="s">
        <v>502</v>
      </c>
      <c r="B981" t="s">
        <v>555</v>
      </c>
      <c r="C981" t="s">
        <v>1536</v>
      </c>
    </row>
    <row r="982" spans="1:3">
      <c r="A982" t="s">
        <v>502</v>
      </c>
      <c r="B982" t="s">
        <v>557</v>
      </c>
      <c r="C982" t="s">
        <v>1537</v>
      </c>
    </row>
    <row r="983" spans="1:3">
      <c r="A983" t="s">
        <v>502</v>
      </c>
      <c r="B983" t="s">
        <v>559</v>
      </c>
      <c r="C983" t="s">
        <v>1538</v>
      </c>
    </row>
    <row r="984" spans="1:3">
      <c r="A984" t="s">
        <v>502</v>
      </c>
      <c r="B984" t="s">
        <v>561</v>
      </c>
      <c r="C984" t="s">
        <v>1539</v>
      </c>
    </row>
    <row r="985" spans="1:3">
      <c r="A985" t="s">
        <v>502</v>
      </c>
      <c r="B985" t="s">
        <v>563</v>
      </c>
      <c r="C985" t="s">
        <v>1540</v>
      </c>
    </row>
    <row r="986" spans="1:3">
      <c r="A986" t="s">
        <v>503</v>
      </c>
      <c r="B986" t="s">
        <v>549</v>
      </c>
      <c r="C986" t="s">
        <v>1541</v>
      </c>
    </row>
    <row r="987" spans="1:3">
      <c r="A987" t="s">
        <v>503</v>
      </c>
      <c r="B987" t="s">
        <v>551</v>
      </c>
      <c r="C987" t="s">
        <v>1542</v>
      </c>
    </row>
    <row r="988" spans="1:3">
      <c r="A988" t="s">
        <v>503</v>
      </c>
      <c r="B988" t="s">
        <v>553</v>
      </c>
      <c r="C988" t="s">
        <v>1543</v>
      </c>
    </row>
    <row r="989" spans="1:3">
      <c r="A989" t="s">
        <v>503</v>
      </c>
      <c r="B989" t="s">
        <v>555</v>
      </c>
      <c r="C989" t="s">
        <v>1544</v>
      </c>
    </row>
    <row r="990" spans="1:3">
      <c r="A990" t="s">
        <v>503</v>
      </c>
      <c r="B990" t="s">
        <v>557</v>
      </c>
      <c r="C990" t="s">
        <v>1545</v>
      </c>
    </row>
    <row r="991" spans="1:3">
      <c r="A991" t="s">
        <v>503</v>
      </c>
      <c r="B991" t="s">
        <v>559</v>
      </c>
      <c r="C991" t="s">
        <v>1546</v>
      </c>
    </row>
    <row r="992" spans="1:3">
      <c r="A992" t="s">
        <v>503</v>
      </c>
      <c r="B992" t="s">
        <v>561</v>
      </c>
      <c r="C992" t="s">
        <v>1547</v>
      </c>
    </row>
    <row r="993" spans="1:3">
      <c r="A993" t="s">
        <v>503</v>
      </c>
      <c r="B993" t="s">
        <v>563</v>
      </c>
      <c r="C993" t="s">
        <v>1548</v>
      </c>
    </row>
    <row r="994" spans="1:3">
      <c r="A994" t="s">
        <v>504</v>
      </c>
      <c r="B994" t="s">
        <v>549</v>
      </c>
      <c r="C994" t="s">
        <v>1549</v>
      </c>
    </row>
    <row r="995" spans="1:3">
      <c r="A995" t="s">
        <v>504</v>
      </c>
      <c r="B995" t="s">
        <v>551</v>
      </c>
      <c r="C995" t="s">
        <v>1550</v>
      </c>
    </row>
    <row r="996" spans="1:3">
      <c r="A996" t="s">
        <v>504</v>
      </c>
      <c r="B996" t="s">
        <v>553</v>
      </c>
      <c r="C996" t="s">
        <v>1551</v>
      </c>
    </row>
    <row r="997" spans="1:3">
      <c r="A997" t="s">
        <v>504</v>
      </c>
      <c r="B997" t="s">
        <v>555</v>
      </c>
      <c r="C997" t="s">
        <v>1552</v>
      </c>
    </row>
    <row r="998" spans="1:3">
      <c r="A998" t="s">
        <v>504</v>
      </c>
      <c r="B998" t="s">
        <v>557</v>
      </c>
      <c r="C998" t="s">
        <v>1553</v>
      </c>
    </row>
    <row r="999" spans="1:3">
      <c r="A999" t="s">
        <v>504</v>
      </c>
      <c r="B999" t="s">
        <v>559</v>
      </c>
      <c r="C999" t="s">
        <v>1554</v>
      </c>
    </row>
    <row r="1000" spans="1:3">
      <c r="A1000" t="s">
        <v>504</v>
      </c>
      <c r="B1000" t="s">
        <v>561</v>
      </c>
      <c r="C1000" t="s">
        <v>1555</v>
      </c>
    </row>
    <row r="1001" spans="1:3">
      <c r="A1001" t="s">
        <v>504</v>
      </c>
      <c r="B1001" t="s">
        <v>563</v>
      </c>
      <c r="C1001" t="s">
        <v>1556</v>
      </c>
    </row>
    <row r="1002" spans="1:3">
      <c r="A1002" t="s">
        <v>505</v>
      </c>
      <c r="B1002" t="s">
        <v>549</v>
      </c>
      <c r="C1002" t="s">
        <v>1557</v>
      </c>
    </row>
    <row r="1003" spans="1:3">
      <c r="A1003" t="s">
        <v>505</v>
      </c>
      <c r="B1003" t="s">
        <v>551</v>
      </c>
      <c r="C1003" t="s">
        <v>1558</v>
      </c>
    </row>
    <row r="1004" spans="1:3">
      <c r="A1004" t="s">
        <v>505</v>
      </c>
      <c r="B1004" t="s">
        <v>553</v>
      </c>
      <c r="C1004" t="s">
        <v>1559</v>
      </c>
    </row>
    <row r="1005" spans="1:3">
      <c r="A1005" t="s">
        <v>505</v>
      </c>
      <c r="B1005" t="s">
        <v>555</v>
      </c>
      <c r="C1005" t="s">
        <v>1560</v>
      </c>
    </row>
    <row r="1006" spans="1:3">
      <c r="A1006" t="s">
        <v>505</v>
      </c>
      <c r="B1006" t="s">
        <v>557</v>
      </c>
      <c r="C1006" t="s">
        <v>1561</v>
      </c>
    </row>
    <row r="1007" spans="1:3">
      <c r="A1007" t="s">
        <v>505</v>
      </c>
      <c r="B1007" t="s">
        <v>559</v>
      </c>
      <c r="C1007" t="s">
        <v>1562</v>
      </c>
    </row>
    <row r="1008" spans="1:3">
      <c r="A1008" t="s">
        <v>505</v>
      </c>
      <c r="B1008" t="s">
        <v>561</v>
      </c>
      <c r="C1008" t="s">
        <v>1563</v>
      </c>
    </row>
    <row r="1009" spans="1:3">
      <c r="A1009" t="s">
        <v>505</v>
      </c>
      <c r="B1009" t="s">
        <v>563</v>
      </c>
      <c r="C1009" t="s">
        <v>1564</v>
      </c>
    </row>
    <row r="1010" spans="1:3">
      <c r="A1010" t="s">
        <v>506</v>
      </c>
      <c r="B1010" t="s">
        <v>549</v>
      </c>
      <c r="C1010" t="s">
        <v>1565</v>
      </c>
    </row>
    <row r="1011" spans="1:3">
      <c r="A1011" t="s">
        <v>506</v>
      </c>
      <c r="B1011" t="s">
        <v>551</v>
      </c>
      <c r="C1011" t="s">
        <v>1566</v>
      </c>
    </row>
    <row r="1012" spans="1:3">
      <c r="A1012" t="s">
        <v>506</v>
      </c>
      <c r="B1012" t="s">
        <v>553</v>
      </c>
      <c r="C1012" t="s">
        <v>1567</v>
      </c>
    </row>
    <row r="1013" spans="1:3">
      <c r="A1013" t="s">
        <v>506</v>
      </c>
      <c r="B1013" t="s">
        <v>555</v>
      </c>
      <c r="C1013" t="s">
        <v>1568</v>
      </c>
    </row>
    <row r="1014" spans="1:3">
      <c r="A1014" t="s">
        <v>506</v>
      </c>
      <c r="B1014" t="s">
        <v>557</v>
      </c>
      <c r="C1014" t="s">
        <v>1569</v>
      </c>
    </row>
    <row r="1015" spans="1:3">
      <c r="A1015" t="s">
        <v>506</v>
      </c>
      <c r="B1015" t="s">
        <v>559</v>
      </c>
      <c r="C1015" t="s">
        <v>1570</v>
      </c>
    </row>
    <row r="1016" spans="1:3">
      <c r="A1016" t="s">
        <v>506</v>
      </c>
      <c r="B1016" t="s">
        <v>561</v>
      </c>
      <c r="C1016" t="s">
        <v>1571</v>
      </c>
    </row>
    <row r="1017" spans="1:3">
      <c r="A1017" t="s">
        <v>506</v>
      </c>
      <c r="B1017" t="s">
        <v>563</v>
      </c>
      <c r="C1017" t="s">
        <v>1572</v>
      </c>
    </row>
    <row r="1018" spans="1:3">
      <c r="A1018" t="s">
        <v>507</v>
      </c>
      <c r="B1018" t="s">
        <v>549</v>
      </c>
      <c r="C1018" t="s">
        <v>1573</v>
      </c>
    </row>
    <row r="1019" spans="1:3">
      <c r="A1019" t="s">
        <v>507</v>
      </c>
      <c r="B1019" t="s">
        <v>551</v>
      </c>
      <c r="C1019" t="s">
        <v>1574</v>
      </c>
    </row>
    <row r="1020" spans="1:3">
      <c r="A1020" t="s">
        <v>507</v>
      </c>
      <c r="B1020" t="s">
        <v>553</v>
      </c>
      <c r="C1020" t="s">
        <v>1575</v>
      </c>
    </row>
    <row r="1021" spans="1:3">
      <c r="A1021" t="s">
        <v>507</v>
      </c>
      <c r="B1021" t="s">
        <v>555</v>
      </c>
      <c r="C1021" t="s">
        <v>1576</v>
      </c>
    </row>
    <row r="1022" spans="1:3">
      <c r="A1022" t="s">
        <v>507</v>
      </c>
      <c r="B1022" t="s">
        <v>557</v>
      </c>
      <c r="C1022" t="s">
        <v>1577</v>
      </c>
    </row>
    <row r="1023" spans="1:3">
      <c r="A1023" t="s">
        <v>507</v>
      </c>
      <c r="B1023" t="s">
        <v>559</v>
      </c>
      <c r="C1023" t="s">
        <v>1578</v>
      </c>
    </row>
    <row r="1024" spans="1:3">
      <c r="A1024" t="s">
        <v>507</v>
      </c>
      <c r="B1024" t="s">
        <v>561</v>
      </c>
      <c r="C1024" t="s">
        <v>1579</v>
      </c>
    </row>
    <row r="1025" spans="1:3">
      <c r="A1025" t="s">
        <v>507</v>
      </c>
      <c r="B1025" t="s">
        <v>563</v>
      </c>
      <c r="C1025" t="s">
        <v>1580</v>
      </c>
    </row>
    <row r="1026" spans="1:3">
      <c r="A1026" t="s">
        <v>508</v>
      </c>
      <c r="B1026" t="s">
        <v>549</v>
      </c>
      <c r="C1026" t="s">
        <v>1581</v>
      </c>
    </row>
    <row r="1027" spans="1:3">
      <c r="A1027" t="s">
        <v>508</v>
      </c>
      <c r="B1027" t="s">
        <v>551</v>
      </c>
      <c r="C1027" t="s">
        <v>1582</v>
      </c>
    </row>
    <row r="1028" spans="1:3">
      <c r="A1028" t="s">
        <v>508</v>
      </c>
      <c r="B1028" t="s">
        <v>553</v>
      </c>
      <c r="C1028" t="s">
        <v>1583</v>
      </c>
    </row>
    <row r="1029" spans="1:3">
      <c r="A1029" t="s">
        <v>508</v>
      </c>
      <c r="B1029" t="s">
        <v>555</v>
      </c>
      <c r="C1029" t="s">
        <v>1584</v>
      </c>
    </row>
    <row r="1030" spans="1:3">
      <c r="A1030" t="s">
        <v>508</v>
      </c>
      <c r="B1030" t="s">
        <v>557</v>
      </c>
      <c r="C1030" t="s">
        <v>1585</v>
      </c>
    </row>
    <row r="1031" spans="1:3">
      <c r="A1031" t="s">
        <v>508</v>
      </c>
      <c r="B1031" t="s">
        <v>559</v>
      </c>
      <c r="C1031" t="s">
        <v>1586</v>
      </c>
    </row>
    <row r="1032" spans="1:3">
      <c r="A1032" t="s">
        <v>508</v>
      </c>
      <c r="B1032" t="s">
        <v>561</v>
      </c>
      <c r="C1032" t="s">
        <v>1587</v>
      </c>
    </row>
    <row r="1033" spans="1:3">
      <c r="A1033" t="s">
        <v>508</v>
      </c>
      <c r="B1033" t="s">
        <v>563</v>
      </c>
      <c r="C1033" t="s">
        <v>1588</v>
      </c>
    </row>
    <row r="1034" spans="1:3">
      <c r="A1034" t="s">
        <v>509</v>
      </c>
      <c r="B1034" t="s">
        <v>549</v>
      </c>
      <c r="C1034" t="s">
        <v>1589</v>
      </c>
    </row>
    <row r="1035" spans="1:3">
      <c r="A1035" t="s">
        <v>509</v>
      </c>
      <c r="B1035" t="s">
        <v>551</v>
      </c>
      <c r="C1035" t="s">
        <v>1590</v>
      </c>
    </row>
    <row r="1036" spans="1:3">
      <c r="A1036" t="s">
        <v>509</v>
      </c>
      <c r="B1036" t="s">
        <v>553</v>
      </c>
      <c r="C1036" t="s">
        <v>1591</v>
      </c>
    </row>
    <row r="1037" spans="1:3">
      <c r="A1037" t="s">
        <v>509</v>
      </c>
      <c r="B1037" t="s">
        <v>555</v>
      </c>
      <c r="C1037" t="s">
        <v>1592</v>
      </c>
    </row>
    <row r="1038" spans="1:3">
      <c r="A1038" t="s">
        <v>509</v>
      </c>
      <c r="B1038" t="s">
        <v>557</v>
      </c>
      <c r="C1038" t="s">
        <v>1593</v>
      </c>
    </row>
    <row r="1039" spans="1:3">
      <c r="A1039" t="s">
        <v>509</v>
      </c>
      <c r="B1039" t="s">
        <v>559</v>
      </c>
      <c r="C1039" t="s">
        <v>1594</v>
      </c>
    </row>
    <row r="1040" spans="1:3">
      <c r="A1040" t="s">
        <v>509</v>
      </c>
      <c r="B1040" t="s">
        <v>561</v>
      </c>
      <c r="C1040" t="s">
        <v>1595</v>
      </c>
    </row>
    <row r="1041" spans="1:3">
      <c r="A1041" t="s">
        <v>509</v>
      </c>
      <c r="B1041" t="s">
        <v>563</v>
      </c>
      <c r="C1041" t="s">
        <v>1596</v>
      </c>
    </row>
    <row r="1042" spans="1:3">
      <c r="A1042" t="s">
        <v>510</v>
      </c>
      <c r="B1042" t="s">
        <v>549</v>
      </c>
      <c r="C1042" t="s">
        <v>1597</v>
      </c>
    </row>
    <row r="1043" spans="1:3">
      <c r="A1043" t="s">
        <v>510</v>
      </c>
      <c r="B1043" t="s">
        <v>551</v>
      </c>
      <c r="C1043" t="s">
        <v>1598</v>
      </c>
    </row>
    <row r="1044" spans="1:3">
      <c r="A1044" t="s">
        <v>510</v>
      </c>
      <c r="B1044" t="s">
        <v>553</v>
      </c>
      <c r="C1044" t="s">
        <v>1599</v>
      </c>
    </row>
    <row r="1045" spans="1:3">
      <c r="A1045" t="s">
        <v>510</v>
      </c>
      <c r="B1045" t="s">
        <v>555</v>
      </c>
      <c r="C1045" t="s">
        <v>1600</v>
      </c>
    </row>
    <row r="1046" spans="1:3">
      <c r="A1046" t="s">
        <v>510</v>
      </c>
      <c r="B1046" t="s">
        <v>557</v>
      </c>
      <c r="C1046" t="s">
        <v>1601</v>
      </c>
    </row>
    <row r="1047" spans="1:3">
      <c r="A1047" t="s">
        <v>510</v>
      </c>
      <c r="B1047" t="s">
        <v>559</v>
      </c>
      <c r="C1047" t="s">
        <v>1602</v>
      </c>
    </row>
    <row r="1048" spans="1:3">
      <c r="A1048" t="s">
        <v>510</v>
      </c>
      <c r="B1048" t="s">
        <v>561</v>
      </c>
      <c r="C1048" t="s">
        <v>1603</v>
      </c>
    </row>
    <row r="1049" spans="1:3">
      <c r="A1049" t="s">
        <v>510</v>
      </c>
      <c r="B1049" t="s">
        <v>563</v>
      </c>
      <c r="C1049" t="s">
        <v>1604</v>
      </c>
    </row>
    <row r="1050" spans="1:3">
      <c r="A1050" t="s">
        <v>511</v>
      </c>
      <c r="B1050" t="s">
        <v>549</v>
      </c>
      <c r="C1050" t="s">
        <v>1605</v>
      </c>
    </row>
    <row r="1051" spans="1:3">
      <c r="A1051" t="s">
        <v>511</v>
      </c>
      <c r="B1051" t="s">
        <v>551</v>
      </c>
      <c r="C1051" t="s">
        <v>1606</v>
      </c>
    </row>
    <row r="1052" spans="1:3">
      <c r="A1052" t="s">
        <v>511</v>
      </c>
      <c r="B1052" t="s">
        <v>553</v>
      </c>
      <c r="C1052" t="s">
        <v>1607</v>
      </c>
    </row>
    <row r="1053" spans="1:3">
      <c r="A1053" t="s">
        <v>511</v>
      </c>
      <c r="B1053" t="s">
        <v>555</v>
      </c>
      <c r="C1053" t="s">
        <v>1608</v>
      </c>
    </row>
    <row r="1054" spans="1:3">
      <c r="A1054" t="s">
        <v>511</v>
      </c>
      <c r="B1054" t="s">
        <v>557</v>
      </c>
      <c r="C1054" t="s">
        <v>1609</v>
      </c>
    </row>
    <row r="1055" spans="1:3">
      <c r="A1055" t="s">
        <v>511</v>
      </c>
      <c r="B1055" t="s">
        <v>559</v>
      </c>
      <c r="C1055" t="s">
        <v>1610</v>
      </c>
    </row>
    <row r="1056" spans="1:3">
      <c r="A1056" t="s">
        <v>511</v>
      </c>
      <c r="B1056" t="s">
        <v>561</v>
      </c>
      <c r="C1056" t="s">
        <v>1611</v>
      </c>
    </row>
    <row r="1057" spans="1:3">
      <c r="A1057" t="s">
        <v>511</v>
      </c>
      <c r="B1057" t="s">
        <v>563</v>
      </c>
      <c r="C1057" t="s">
        <v>1612</v>
      </c>
    </row>
    <row r="1058" spans="1:3">
      <c r="A1058" t="s">
        <v>512</v>
      </c>
      <c r="B1058" t="s">
        <v>549</v>
      </c>
      <c r="C1058" t="s">
        <v>1613</v>
      </c>
    </row>
    <row r="1059" spans="1:3">
      <c r="A1059" t="s">
        <v>512</v>
      </c>
      <c r="B1059" t="s">
        <v>551</v>
      </c>
      <c r="C1059" t="s">
        <v>1614</v>
      </c>
    </row>
    <row r="1060" spans="1:3">
      <c r="A1060" t="s">
        <v>512</v>
      </c>
      <c r="B1060" t="s">
        <v>553</v>
      </c>
      <c r="C1060" t="s">
        <v>1615</v>
      </c>
    </row>
    <row r="1061" spans="1:3">
      <c r="A1061" t="s">
        <v>512</v>
      </c>
      <c r="B1061" t="s">
        <v>555</v>
      </c>
      <c r="C1061" t="s">
        <v>1616</v>
      </c>
    </row>
    <row r="1062" spans="1:3">
      <c r="A1062" t="s">
        <v>512</v>
      </c>
      <c r="B1062" t="s">
        <v>557</v>
      </c>
      <c r="C1062" t="s">
        <v>1617</v>
      </c>
    </row>
    <row r="1063" spans="1:3">
      <c r="A1063" t="s">
        <v>512</v>
      </c>
      <c r="B1063" t="s">
        <v>559</v>
      </c>
      <c r="C1063" t="s">
        <v>1618</v>
      </c>
    </row>
    <row r="1064" spans="1:3">
      <c r="A1064" t="s">
        <v>512</v>
      </c>
      <c r="B1064" t="s">
        <v>561</v>
      </c>
      <c r="C1064" t="s">
        <v>1619</v>
      </c>
    </row>
    <row r="1065" spans="1:3">
      <c r="A1065" t="s">
        <v>512</v>
      </c>
      <c r="B1065" t="s">
        <v>563</v>
      </c>
      <c r="C1065" t="s">
        <v>1620</v>
      </c>
    </row>
    <row r="1066" spans="1:3">
      <c r="A1066" t="s">
        <v>513</v>
      </c>
      <c r="B1066" t="s">
        <v>549</v>
      </c>
      <c r="C1066" t="s">
        <v>1621</v>
      </c>
    </row>
    <row r="1067" spans="1:3">
      <c r="A1067" t="s">
        <v>513</v>
      </c>
      <c r="B1067" t="s">
        <v>551</v>
      </c>
      <c r="C1067" t="s">
        <v>1622</v>
      </c>
    </row>
    <row r="1068" spans="1:3">
      <c r="A1068" t="s">
        <v>513</v>
      </c>
      <c r="B1068" t="s">
        <v>553</v>
      </c>
      <c r="C1068" t="s">
        <v>1623</v>
      </c>
    </row>
    <row r="1069" spans="1:3">
      <c r="A1069" t="s">
        <v>513</v>
      </c>
      <c r="B1069" t="s">
        <v>555</v>
      </c>
      <c r="C1069" t="s">
        <v>1624</v>
      </c>
    </row>
    <row r="1070" spans="1:3">
      <c r="A1070" t="s">
        <v>513</v>
      </c>
      <c r="B1070" t="s">
        <v>557</v>
      </c>
      <c r="C1070" t="s">
        <v>1625</v>
      </c>
    </row>
    <row r="1071" spans="1:3">
      <c r="A1071" t="s">
        <v>513</v>
      </c>
      <c r="B1071" t="s">
        <v>559</v>
      </c>
      <c r="C1071" t="s">
        <v>1626</v>
      </c>
    </row>
    <row r="1072" spans="1:3">
      <c r="A1072" t="s">
        <v>513</v>
      </c>
      <c r="B1072" t="s">
        <v>561</v>
      </c>
      <c r="C1072" t="s">
        <v>1627</v>
      </c>
    </row>
    <row r="1073" spans="1:3">
      <c r="A1073" t="s">
        <v>513</v>
      </c>
      <c r="B1073" t="s">
        <v>563</v>
      </c>
      <c r="C1073" t="s">
        <v>1628</v>
      </c>
    </row>
    <row r="1074" spans="1:3">
      <c r="A1074" t="s">
        <v>514</v>
      </c>
      <c r="B1074" t="s">
        <v>549</v>
      </c>
      <c r="C1074" t="s">
        <v>1629</v>
      </c>
    </row>
    <row r="1075" spans="1:3">
      <c r="A1075" t="s">
        <v>514</v>
      </c>
      <c r="B1075" t="s">
        <v>551</v>
      </c>
      <c r="C1075" t="s">
        <v>1630</v>
      </c>
    </row>
    <row r="1076" spans="1:3">
      <c r="A1076" t="s">
        <v>514</v>
      </c>
      <c r="B1076" t="s">
        <v>553</v>
      </c>
      <c r="C1076" t="s">
        <v>1631</v>
      </c>
    </row>
    <row r="1077" spans="1:3">
      <c r="A1077" t="s">
        <v>514</v>
      </c>
      <c r="B1077" t="s">
        <v>555</v>
      </c>
      <c r="C1077" t="s">
        <v>1632</v>
      </c>
    </row>
    <row r="1078" spans="1:3">
      <c r="A1078" t="s">
        <v>514</v>
      </c>
      <c r="B1078" t="s">
        <v>557</v>
      </c>
      <c r="C1078" t="s">
        <v>1633</v>
      </c>
    </row>
    <row r="1079" spans="1:3">
      <c r="A1079" t="s">
        <v>514</v>
      </c>
      <c r="B1079" t="s">
        <v>559</v>
      </c>
      <c r="C1079" t="s">
        <v>1634</v>
      </c>
    </row>
    <row r="1080" spans="1:3">
      <c r="A1080" t="s">
        <v>514</v>
      </c>
      <c r="B1080" t="s">
        <v>561</v>
      </c>
      <c r="C1080" t="s">
        <v>1635</v>
      </c>
    </row>
    <row r="1081" spans="1:3">
      <c r="A1081" t="s">
        <v>514</v>
      </c>
      <c r="B1081" t="s">
        <v>563</v>
      </c>
      <c r="C1081" t="s">
        <v>1636</v>
      </c>
    </row>
    <row r="1082" spans="1:3">
      <c r="A1082" t="s">
        <v>515</v>
      </c>
      <c r="B1082" t="s">
        <v>549</v>
      </c>
      <c r="C1082" t="s">
        <v>1637</v>
      </c>
    </row>
    <row r="1083" spans="1:3">
      <c r="A1083" t="s">
        <v>515</v>
      </c>
      <c r="B1083" t="s">
        <v>551</v>
      </c>
      <c r="C1083" t="s">
        <v>1638</v>
      </c>
    </row>
    <row r="1084" spans="1:3">
      <c r="A1084" t="s">
        <v>515</v>
      </c>
      <c r="B1084" t="s">
        <v>553</v>
      </c>
      <c r="C1084" t="s">
        <v>1639</v>
      </c>
    </row>
    <row r="1085" spans="1:3">
      <c r="A1085" t="s">
        <v>515</v>
      </c>
      <c r="B1085" t="s">
        <v>555</v>
      </c>
      <c r="C1085" t="s">
        <v>1640</v>
      </c>
    </row>
    <row r="1086" spans="1:3">
      <c r="A1086" t="s">
        <v>515</v>
      </c>
      <c r="B1086" t="s">
        <v>557</v>
      </c>
      <c r="C1086" t="s">
        <v>1641</v>
      </c>
    </row>
    <row r="1087" spans="1:3">
      <c r="A1087" t="s">
        <v>515</v>
      </c>
      <c r="B1087" t="s">
        <v>559</v>
      </c>
      <c r="C1087" t="s">
        <v>1642</v>
      </c>
    </row>
    <row r="1088" spans="1:3">
      <c r="A1088" t="s">
        <v>515</v>
      </c>
      <c r="B1088" t="s">
        <v>561</v>
      </c>
      <c r="C1088" t="s">
        <v>1643</v>
      </c>
    </row>
    <row r="1089" spans="1:3">
      <c r="A1089" t="s">
        <v>515</v>
      </c>
      <c r="B1089" t="s">
        <v>563</v>
      </c>
      <c r="C1089" t="s">
        <v>1644</v>
      </c>
    </row>
    <row r="1090" spans="1:3">
      <c r="A1090" t="s">
        <v>516</v>
      </c>
      <c r="B1090" t="s">
        <v>549</v>
      </c>
      <c r="C1090" t="s">
        <v>1645</v>
      </c>
    </row>
    <row r="1091" spans="1:3">
      <c r="A1091" t="s">
        <v>516</v>
      </c>
      <c r="B1091" t="s">
        <v>551</v>
      </c>
      <c r="C1091" t="s">
        <v>1646</v>
      </c>
    </row>
    <row r="1092" spans="1:3">
      <c r="A1092" t="s">
        <v>516</v>
      </c>
      <c r="B1092" t="s">
        <v>553</v>
      </c>
      <c r="C1092" t="s">
        <v>1647</v>
      </c>
    </row>
    <row r="1093" spans="1:3">
      <c r="A1093" t="s">
        <v>516</v>
      </c>
      <c r="B1093" t="s">
        <v>555</v>
      </c>
      <c r="C1093" t="s">
        <v>1648</v>
      </c>
    </row>
    <row r="1094" spans="1:3">
      <c r="A1094" t="s">
        <v>516</v>
      </c>
      <c r="B1094" t="s">
        <v>557</v>
      </c>
      <c r="C1094" t="s">
        <v>1649</v>
      </c>
    </row>
    <row r="1095" spans="1:3">
      <c r="A1095" t="s">
        <v>516</v>
      </c>
      <c r="B1095" t="s">
        <v>559</v>
      </c>
      <c r="C1095" t="s">
        <v>1650</v>
      </c>
    </row>
    <row r="1096" spans="1:3">
      <c r="A1096" t="s">
        <v>516</v>
      </c>
      <c r="B1096" t="s">
        <v>561</v>
      </c>
      <c r="C1096" t="s">
        <v>1651</v>
      </c>
    </row>
    <row r="1097" spans="1:3">
      <c r="A1097" t="s">
        <v>516</v>
      </c>
      <c r="B1097" t="s">
        <v>563</v>
      </c>
      <c r="C1097" t="s">
        <v>1652</v>
      </c>
    </row>
    <row r="1098" spans="1:3">
      <c r="A1098" t="s">
        <v>517</v>
      </c>
      <c r="B1098" t="s">
        <v>549</v>
      </c>
      <c r="C1098" t="s">
        <v>1653</v>
      </c>
    </row>
    <row r="1099" spans="1:3">
      <c r="A1099" t="s">
        <v>517</v>
      </c>
      <c r="B1099" t="s">
        <v>551</v>
      </c>
      <c r="C1099" t="s">
        <v>1654</v>
      </c>
    </row>
    <row r="1100" spans="1:3">
      <c r="A1100" t="s">
        <v>517</v>
      </c>
      <c r="B1100" t="s">
        <v>553</v>
      </c>
      <c r="C1100" t="s">
        <v>1655</v>
      </c>
    </row>
    <row r="1101" spans="1:3">
      <c r="A1101" t="s">
        <v>517</v>
      </c>
      <c r="B1101" t="s">
        <v>555</v>
      </c>
      <c r="C1101" t="s">
        <v>1656</v>
      </c>
    </row>
    <row r="1102" spans="1:3">
      <c r="A1102" t="s">
        <v>517</v>
      </c>
      <c r="B1102" t="s">
        <v>557</v>
      </c>
      <c r="C1102" t="s">
        <v>1657</v>
      </c>
    </row>
    <row r="1103" spans="1:3">
      <c r="A1103" t="s">
        <v>517</v>
      </c>
      <c r="B1103" t="s">
        <v>559</v>
      </c>
      <c r="C1103" t="s">
        <v>1658</v>
      </c>
    </row>
    <row r="1104" spans="1:3">
      <c r="A1104" t="s">
        <v>517</v>
      </c>
      <c r="B1104" t="s">
        <v>561</v>
      </c>
      <c r="C1104" t="s">
        <v>1659</v>
      </c>
    </row>
    <row r="1105" spans="1:3">
      <c r="A1105" t="s">
        <v>517</v>
      </c>
      <c r="B1105" t="s">
        <v>563</v>
      </c>
      <c r="C1105" t="s">
        <v>1660</v>
      </c>
    </row>
    <row r="1106" spans="1:3">
      <c r="A1106" t="s">
        <v>518</v>
      </c>
      <c r="B1106" t="s">
        <v>549</v>
      </c>
      <c r="C1106" t="s">
        <v>1661</v>
      </c>
    </row>
    <row r="1107" spans="1:3">
      <c r="A1107" t="s">
        <v>518</v>
      </c>
      <c r="B1107" t="s">
        <v>551</v>
      </c>
      <c r="C1107" t="s">
        <v>1662</v>
      </c>
    </row>
    <row r="1108" spans="1:3">
      <c r="A1108" t="s">
        <v>518</v>
      </c>
      <c r="B1108" t="s">
        <v>553</v>
      </c>
      <c r="C1108" t="s">
        <v>1663</v>
      </c>
    </row>
    <row r="1109" spans="1:3">
      <c r="A1109" t="s">
        <v>518</v>
      </c>
      <c r="B1109" t="s">
        <v>555</v>
      </c>
      <c r="C1109" t="s">
        <v>1664</v>
      </c>
    </row>
    <row r="1110" spans="1:3">
      <c r="A1110" t="s">
        <v>518</v>
      </c>
      <c r="B1110" t="s">
        <v>557</v>
      </c>
      <c r="C1110" t="s">
        <v>1665</v>
      </c>
    </row>
    <row r="1111" spans="1:3">
      <c r="A1111" t="s">
        <v>518</v>
      </c>
      <c r="B1111" t="s">
        <v>559</v>
      </c>
      <c r="C1111" t="s">
        <v>1666</v>
      </c>
    </row>
    <row r="1112" spans="1:3">
      <c r="A1112" t="s">
        <v>518</v>
      </c>
      <c r="B1112" t="s">
        <v>561</v>
      </c>
      <c r="C1112" t="s">
        <v>1667</v>
      </c>
    </row>
    <row r="1113" spans="1:3">
      <c r="A1113" t="s">
        <v>518</v>
      </c>
      <c r="B1113" t="s">
        <v>563</v>
      </c>
      <c r="C1113" t="s">
        <v>1668</v>
      </c>
    </row>
    <row r="1114" spans="1:3">
      <c r="A1114" t="s">
        <v>519</v>
      </c>
      <c r="B1114" t="s">
        <v>549</v>
      </c>
      <c r="C1114" t="s">
        <v>1669</v>
      </c>
    </row>
    <row r="1115" spans="1:3">
      <c r="A1115" t="s">
        <v>519</v>
      </c>
      <c r="B1115" t="s">
        <v>551</v>
      </c>
      <c r="C1115" t="s">
        <v>1670</v>
      </c>
    </row>
    <row r="1116" spans="1:3">
      <c r="A1116" t="s">
        <v>519</v>
      </c>
      <c r="B1116" t="s">
        <v>553</v>
      </c>
      <c r="C1116" t="s">
        <v>1671</v>
      </c>
    </row>
    <row r="1117" spans="1:3">
      <c r="A1117" t="s">
        <v>519</v>
      </c>
      <c r="B1117" t="s">
        <v>555</v>
      </c>
      <c r="C1117" t="s">
        <v>1672</v>
      </c>
    </row>
    <row r="1118" spans="1:3">
      <c r="A1118" t="s">
        <v>519</v>
      </c>
      <c r="B1118" t="s">
        <v>557</v>
      </c>
      <c r="C1118" t="s">
        <v>1673</v>
      </c>
    </row>
    <row r="1119" spans="1:3">
      <c r="A1119" t="s">
        <v>519</v>
      </c>
      <c r="B1119" t="s">
        <v>559</v>
      </c>
      <c r="C1119" t="s">
        <v>1674</v>
      </c>
    </row>
    <row r="1120" spans="1:3">
      <c r="A1120" t="s">
        <v>519</v>
      </c>
      <c r="B1120" t="s">
        <v>561</v>
      </c>
      <c r="C1120" t="s">
        <v>1675</v>
      </c>
    </row>
    <row r="1121" spans="1:3">
      <c r="A1121" t="s">
        <v>519</v>
      </c>
      <c r="B1121" t="s">
        <v>563</v>
      </c>
      <c r="C1121" t="s">
        <v>1676</v>
      </c>
    </row>
    <row r="1122" spans="1:3">
      <c r="A1122" t="s">
        <v>520</v>
      </c>
      <c r="B1122" t="s">
        <v>549</v>
      </c>
      <c r="C1122" t="s">
        <v>1677</v>
      </c>
    </row>
    <row r="1123" spans="1:3">
      <c r="A1123" t="s">
        <v>520</v>
      </c>
      <c r="B1123" t="s">
        <v>551</v>
      </c>
      <c r="C1123" t="s">
        <v>1678</v>
      </c>
    </row>
    <row r="1124" spans="1:3">
      <c r="A1124" t="s">
        <v>520</v>
      </c>
      <c r="B1124" t="s">
        <v>553</v>
      </c>
      <c r="C1124" t="s">
        <v>1679</v>
      </c>
    </row>
    <row r="1125" spans="1:3">
      <c r="A1125" t="s">
        <v>520</v>
      </c>
      <c r="B1125" t="s">
        <v>555</v>
      </c>
      <c r="C1125" t="s">
        <v>1680</v>
      </c>
    </row>
    <row r="1126" spans="1:3">
      <c r="A1126" t="s">
        <v>520</v>
      </c>
      <c r="B1126" t="s">
        <v>557</v>
      </c>
      <c r="C1126" t="s">
        <v>1681</v>
      </c>
    </row>
    <row r="1127" spans="1:3">
      <c r="A1127" t="s">
        <v>520</v>
      </c>
      <c r="B1127" t="s">
        <v>559</v>
      </c>
      <c r="C1127" t="s">
        <v>1682</v>
      </c>
    </row>
    <row r="1128" spans="1:3">
      <c r="A1128" t="s">
        <v>520</v>
      </c>
      <c r="B1128" t="s">
        <v>561</v>
      </c>
      <c r="C1128" t="s">
        <v>1683</v>
      </c>
    </row>
    <row r="1129" spans="1:3">
      <c r="A1129" t="s">
        <v>520</v>
      </c>
      <c r="B1129" t="s">
        <v>563</v>
      </c>
      <c r="C1129" t="s">
        <v>1684</v>
      </c>
    </row>
    <row r="1130" spans="1:3">
      <c r="A1130" t="s">
        <v>521</v>
      </c>
      <c r="B1130" t="s">
        <v>549</v>
      </c>
      <c r="C1130" t="s">
        <v>1685</v>
      </c>
    </row>
    <row r="1131" spans="1:3">
      <c r="A1131" t="s">
        <v>521</v>
      </c>
      <c r="B1131" t="s">
        <v>551</v>
      </c>
      <c r="C1131" t="s">
        <v>1686</v>
      </c>
    </row>
    <row r="1132" spans="1:3">
      <c r="A1132" t="s">
        <v>521</v>
      </c>
      <c r="B1132" t="s">
        <v>553</v>
      </c>
      <c r="C1132" t="s">
        <v>1687</v>
      </c>
    </row>
    <row r="1133" spans="1:3">
      <c r="A1133" t="s">
        <v>521</v>
      </c>
      <c r="B1133" t="s">
        <v>555</v>
      </c>
      <c r="C1133" t="s">
        <v>1688</v>
      </c>
    </row>
    <row r="1134" spans="1:3">
      <c r="A1134" t="s">
        <v>521</v>
      </c>
      <c r="B1134" t="s">
        <v>557</v>
      </c>
      <c r="C1134" t="s">
        <v>1689</v>
      </c>
    </row>
    <row r="1135" spans="1:3">
      <c r="A1135" t="s">
        <v>521</v>
      </c>
      <c r="B1135" t="s">
        <v>559</v>
      </c>
      <c r="C1135" t="s">
        <v>1690</v>
      </c>
    </row>
    <row r="1136" spans="1:3">
      <c r="A1136" t="s">
        <v>521</v>
      </c>
      <c r="B1136" t="s">
        <v>561</v>
      </c>
      <c r="C1136" t="s">
        <v>1691</v>
      </c>
    </row>
    <row r="1137" spans="1:3">
      <c r="A1137" t="s">
        <v>521</v>
      </c>
      <c r="B1137" t="s">
        <v>563</v>
      </c>
      <c r="C1137" t="s">
        <v>1692</v>
      </c>
    </row>
    <row r="1138" spans="1:3">
      <c r="A1138" t="s">
        <v>522</v>
      </c>
      <c r="B1138" t="s">
        <v>549</v>
      </c>
      <c r="C1138" t="s">
        <v>1693</v>
      </c>
    </row>
    <row r="1139" spans="1:3">
      <c r="A1139" t="s">
        <v>522</v>
      </c>
      <c r="B1139" t="s">
        <v>551</v>
      </c>
      <c r="C1139" t="s">
        <v>1694</v>
      </c>
    </row>
    <row r="1140" spans="1:3">
      <c r="A1140" t="s">
        <v>522</v>
      </c>
      <c r="B1140" t="s">
        <v>553</v>
      </c>
      <c r="C1140" t="s">
        <v>1695</v>
      </c>
    </row>
    <row r="1141" spans="1:3">
      <c r="A1141" t="s">
        <v>522</v>
      </c>
      <c r="B1141" t="s">
        <v>555</v>
      </c>
      <c r="C1141" t="s">
        <v>1696</v>
      </c>
    </row>
    <row r="1142" spans="1:3">
      <c r="A1142" t="s">
        <v>522</v>
      </c>
      <c r="B1142" t="s">
        <v>557</v>
      </c>
      <c r="C1142" t="s">
        <v>1697</v>
      </c>
    </row>
    <row r="1143" spans="1:3">
      <c r="A1143" t="s">
        <v>522</v>
      </c>
      <c r="B1143" t="s">
        <v>559</v>
      </c>
      <c r="C1143" t="s">
        <v>1698</v>
      </c>
    </row>
    <row r="1144" spans="1:3">
      <c r="A1144" t="s">
        <v>522</v>
      </c>
      <c r="B1144" t="s">
        <v>561</v>
      </c>
      <c r="C1144" t="s">
        <v>1699</v>
      </c>
    </row>
    <row r="1145" spans="1:3">
      <c r="A1145" t="s">
        <v>522</v>
      </c>
      <c r="B1145" t="s">
        <v>563</v>
      </c>
      <c r="C1145" t="s">
        <v>1700</v>
      </c>
    </row>
    <row r="1146" spans="1:3">
      <c r="A1146" t="s">
        <v>523</v>
      </c>
      <c r="B1146" t="s">
        <v>549</v>
      </c>
      <c r="C1146" t="s">
        <v>1701</v>
      </c>
    </row>
    <row r="1147" spans="1:3">
      <c r="A1147" t="s">
        <v>523</v>
      </c>
      <c r="B1147" t="s">
        <v>551</v>
      </c>
      <c r="C1147" t="s">
        <v>1702</v>
      </c>
    </row>
    <row r="1148" spans="1:3">
      <c r="A1148" t="s">
        <v>523</v>
      </c>
      <c r="B1148" t="s">
        <v>553</v>
      </c>
      <c r="C1148" t="s">
        <v>1703</v>
      </c>
    </row>
    <row r="1149" spans="1:3">
      <c r="A1149" t="s">
        <v>523</v>
      </c>
      <c r="B1149" t="s">
        <v>555</v>
      </c>
      <c r="C1149" t="s">
        <v>1704</v>
      </c>
    </row>
    <row r="1150" spans="1:3">
      <c r="A1150" t="s">
        <v>523</v>
      </c>
      <c r="B1150" t="s">
        <v>557</v>
      </c>
      <c r="C1150" t="s">
        <v>1705</v>
      </c>
    </row>
    <row r="1151" spans="1:3">
      <c r="A1151" t="s">
        <v>523</v>
      </c>
      <c r="B1151" t="s">
        <v>559</v>
      </c>
      <c r="C1151" t="s">
        <v>1706</v>
      </c>
    </row>
    <row r="1152" spans="1:3">
      <c r="A1152" t="s">
        <v>523</v>
      </c>
      <c r="B1152" t="s">
        <v>561</v>
      </c>
      <c r="C1152" t="s">
        <v>1707</v>
      </c>
    </row>
    <row r="1153" spans="1:3">
      <c r="A1153" t="s">
        <v>523</v>
      </c>
      <c r="B1153" t="s">
        <v>563</v>
      </c>
      <c r="C1153" t="s">
        <v>1708</v>
      </c>
    </row>
    <row r="1154" spans="1:3">
      <c r="A1154" t="s">
        <v>524</v>
      </c>
      <c r="B1154" t="s">
        <v>549</v>
      </c>
      <c r="C1154" t="s">
        <v>1709</v>
      </c>
    </row>
    <row r="1155" spans="1:3">
      <c r="A1155" t="s">
        <v>524</v>
      </c>
      <c r="B1155" t="s">
        <v>551</v>
      </c>
      <c r="C1155" t="s">
        <v>1710</v>
      </c>
    </row>
    <row r="1156" spans="1:3">
      <c r="A1156" t="s">
        <v>524</v>
      </c>
      <c r="B1156" t="s">
        <v>553</v>
      </c>
      <c r="C1156" t="s">
        <v>1711</v>
      </c>
    </row>
    <row r="1157" spans="1:3">
      <c r="A1157" t="s">
        <v>524</v>
      </c>
      <c r="B1157" t="s">
        <v>555</v>
      </c>
      <c r="C1157" t="s">
        <v>1712</v>
      </c>
    </row>
    <row r="1158" spans="1:3">
      <c r="A1158" t="s">
        <v>524</v>
      </c>
      <c r="B1158" t="s">
        <v>557</v>
      </c>
      <c r="C1158" t="s">
        <v>1713</v>
      </c>
    </row>
    <row r="1159" spans="1:3">
      <c r="A1159" t="s">
        <v>524</v>
      </c>
      <c r="B1159" t="s">
        <v>559</v>
      </c>
      <c r="C1159" t="s">
        <v>1714</v>
      </c>
    </row>
    <row r="1160" spans="1:3">
      <c r="A1160" t="s">
        <v>524</v>
      </c>
      <c r="B1160" t="s">
        <v>561</v>
      </c>
      <c r="C1160" t="s">
        <v>1715</v>
      </c>
    </row>
    <row r="1161" spans="1:3">
      <c r="A1161" t="s">
        <v>524</v>
      </c>
      <c r="B1161" t="s">
        <v>563</v>
      </c>
      <c r="C1161" t="s">
        <v>1716</v>
      </c>
    </row>
    <row r="1162" spans="1:3">
      <c r="A1162" t="s">
        <v>525</v>
      </c>
      <c r="B1162" t="s">
        <v>549</v>
      </c>
      <c r="C1162" t="s">
        <v>1717</v>
      </c>
    </row>
    <row r="1163" spans="1:3">
      <c r="A1163" t="s">
        <v>525</v>
      </c>
      <c r="B1163" t="s">
        <v>551</v>
      </c>
      <c r="C1163" t="s">
        <v>1718</v>
      </c>
    </row>
    <row r="1164" spans="1:3">
      <c r="A1164" t="s">
        <v>525</v>
      </c>
      <c r="B1164" t="s">
        <v>553</v>
      </c>
      <c r="C1164" t="s">
        <v>1719</v>
      </c>
    </row>
    <row r="1165" spans="1:3">
      <c r="A1165" t="s">
        <v>525</v>
      </c>
      <c r="B1165" t="s">
        <v>555</v>
      </c>
      <c r="C1165" t="s">
        <v>1720</v>
      </c>
    </row>
    <row r="1166" spans="1:3">
      <c r="A1166" t="s">
        <v>525</v>
      </c>
      <c r="B1166" t="s">
        <v>557</v>
      </c>
      <c r="C1166" t="s">
        <v>1721</v>
      </c>
    </row>
    <row r="1167" spans="1:3">
      <c r="A1167" t="s">
        <v>525</v>
      </c>
      <c r="B1167" t="s">
        <v>559</v>
      </c>
      <c r="C1167" t="s">
        <v>1722</v>
      </c>
    </row>
    <row r="1168" spans="1:3">
      <c r="A1168" t="s">
        <v>525</v>
      </c>
      <c r="B1168" t="s">
        <v>561</v>
      </c>
      <c r="C1168" t="s">
        <v>1723</v>
      </c>
    </row>
    <row r="1169" spans="1:3">
      <c r="A1169" t="s">
        <v>525</v>
      </c>
      <c r="B1169" t="s">
        <v>563</v>
      </c>
      <c r="C1169" t="s">
        <v>1724</v>
      </c>
    </row>
    <row r="1170" spans="1:3">
      <c r="A1170" t="s">
        <v>526</v>
      </c>
      <c r="B1170" t="s">
        <v>549</v>
      </c>
      <c r="C1170" t="s">
        <v>1725</v>
      </c>
    </row>
    <row r="1171" spans="1:3">
      <c r="A1171" t="s">
        <v>526</v>
      </c>
      <c r="B1171" t="s">
        <v>551</v>
      </c>
      <c r="C1171" t="s">
        <v>1726</v>
      </c>
    </row>
    <row r="1172" spans="1:3">
      <c r="A1172" t="s">
        <v>526</v>
      </c>
      <c r="B1172" t="s">
        <v>553</v>
      </c>
      <c r="C1172" t="s">
        <v>1727</v>
      </c>
    </row>
    <row r="1173" spans="1:3">
      <c r="A1173" t="s">
        <v>526</v>
      </c>
      <c r="B1173" t="s">
        <v>555</v>
      </c>
      <c r="C1173" t="s">
        <v>1728</v>
      </c>
    </row>
    <row r="1174" spans="1:3">
      <c r="A1174" t="s">
        <v>526</v>
      </c>
      <c r="B1174" t="s">
        <v>557</v>
      </c>
      <c r="C1174" t="s">
        <v>1729</v>
      </c>
    </row>
    <row r="1175" spans="1:3">
      <c r="A1175" t="s">
        <v>526</v>
      </c>
      <c r="B1175" t="s">
        <v>559</v>
      </c>
      <c r="C1175" t="s">
        <v>1730</v>
      </c>
    </row>
    <row r="1176" spans="1:3">
      <c r="A1176" t="s">
        <v>526</v>
      </c>
      <c r="B1176" t="s">
        <v>561</v>
      </c>
      <c r="C1176" t="s">
        <v>1731</v>
      </c>
    </row>
    <row r="1177" spans="1:3">
      <c r="A1177" t="s">
        <v>526</v>
      </c>
      <c r="B1177" t="s">
        <v>563</v>
      </c>
      <c r="C1177" t="s">
        <v>1732</v>
      </c>
    </row>
    <row r="1178" spans="1:3">
      <c r="A1178" t="s">
        <v>527</v>
      </c>
      <c r="B1178" t="s">
        <v>549</v>
      </c>
      <c r="C1178" t="s">
        <v>1733</v>
      </c>
    </row>
    <row r="1179" spans="1:3">
      <c r="A1179" t="s">
        <v>527</v>
      </c>
      <c r="B1179" t="s">
        <v>551</v>
      </c>
      <c r="C1179" t="s">
        <v>1734</v>
      </c>
    </row>
    <row r="1180" spans="1:3">
      <c r="A1180" t="s">
        <v>527</v>
      </c>
      <c r="B1180" t="s">
        <v>553</v>
      </c>
      <c r="C1180" t="s">
        <v>1735</v>
      </c>
    </row>
    <row r="1181" spans="1:3">
      <c r="A1181" t="s">
        <v>527</v>
      </c>
      <c r="B1181" t="s">
        <v>555</v>
      </c>
      <c r="C1181" t="s">
        <v>1736</v>
      </c>
    </row>
    <row r="1182" spans="1:3">
      <c r="A1182" t="s">
        <v>527</v>
      </c>
      <c r="B1182" t="s">
        <v>557</v>
      </c>
      <c r="C1182" t="s">
        <v>1737</v>
      </c>
    </row>
    <row r="1183" spans="1:3">
      <c r="A1183" t="s">
        <v>527</v>
      </c>
      <c r="B1183" t="s">
        <v>559</v>
      </c>
      <c r="C1183" t="s">
        <v>1738</v>
      </c>
    </row>
    <row r="1184" spans="1:3">
      <c r="A1184" t="s">
        <v>527</v>
      </c>
      <c r="B1184" t="s">
        <v>561</v>
      </c>
      <c r="C1184" t="s">
        <v>1739</v>
      </c>
    </row>
    <row r="1185" spans="1:3">
      <c r="A1185" t="s">
        <v>527</v>
      </c>
      <c r="B1185" t="s">
        <v>563</v>
      </c>
      <c r="C1185" t="s">
        <v>1740</v>
      </c>
    </row>
    <row r="1186" spans="1:3">
      <c r="A1186" t="s">
        <v>528</v>
      </c>
      <c r="B1186" t="s">
        <v>549</v>
      </c>
      <c r="C1186" t="s">
        <v>1741</v>
      </c>
    </row>
    <row r="1187" spans="1:3">
      <c r="A1187" t="s">
        <v>528</v>
      </c>
      <c r="B1187" t="s">
        <v>551</v>
      </c>
      <c r="C1187" t="s">
        <v>1742</v>
      </c>
    </row>
    <row r="1188" spans="1:3">
      <c r="A1188" t="s">
        <v>528</v>
      </c>
      <c r="B1188" t="s">
        <v>553</v>
      </c>
      <c r="C1188" t="s">
        <v>1743</v>
      </c>
    </row>
    <row r="1189" spans="1:3">
      <c r="A1189" t="s">
        <v>528</v>
      </c>
      <c r="B1189" t="s">
        <v>555</v>
      </c>
      <c r="C1189" t="s">
        <v>1744</v>
      </c>
    </row>
    <row r="1190" spans="1:3">
      <c r="A1190" t="s">
        <v>528</v>
      </c>
      <c r="B1190" t="s">
        <v>557</v>
      </c>
      <c r="C1190" t="s">
        <v>1745</v>
      </c>
    </row>
    <row r="1191" spans="1:3">
      <c r="A1191" t="s">
        <v>528</v>
      </c>
      <c r="B1191" t="s">
        <v>559</v>
      </c>
      <c r="C1191" t="s">
        <v>1746</v>
      </c>
    </row>
    <row r="1192" spans="1:3">
      <c r="A1192" t="s">
        <v>528</v>
      </c>
      <c r="B1192" t="s">
        <v>561</v>
      </c>
      <c r="C1192" t="s">
        <v>1747</v>
      </c>
    </row>
    <row r="1193" spans="1:3">
      <c r="A1193" t="s">
        <v>528</v>
      </c>
      <c r="B1193" t="s">
        <v>563</v>
      </c>
      <c r="C1193" t="s">
        <v>1748</v>
      </c>
    </row>
    <row r="1194" spans="1:3">
      <c r="A1194" t="s">
        <v>529</v>
      </c>
      <c r="B1194" t="s">
        <v>549</v>
      </c>
      <c r="C1194" t="s">
        <v>1749</v>
      </c>
    </row>
    <row r="1195" spans="1:3">
      <c r="A1195" t="s">
        <v>529</v>
      </c>
      <c r="B1195" t="s">
        <v>551</v>
      </c>
      <c r="C1195" t="s">
        <v>1750</v>
      </c>
    </row>
    <row r="1196" spans="1:3">
      <c r="A1196" t="s">
        <v>529</v>
      </c>
      <c r="B1196" t="s">
        <v>553</v>
      </c>
      <c r="C1196" t="s">
        <v>1751</v>
      </c>
    </row>
    <row r="1197" spans="1:3">
      <c r="A1197" t="s">
        <v>529</v>
      </c>
      <c r="B1197" t="s">
        <v>555</v>
      </c>
      <c r="C1197" t="s">
        <v>1752</v>
      </c>
    </row>
    <row r="1198" spans="1:3">
      <c r="A1198" t="s">
        <v>529</v>
      </c>
      <c r="B1198" t="s">
        <v>557</v>
      </c>
      <c r="C1198" t="s">
        <v>1753</v>
      </c>
    </row>
    <row r="1199" spans="1:3">
      <c r="A1199" t="s">
        <v>529</v>
      </c>
      <c r="B1199" t="s">
        <v>559</v>
      </c>
      <c r="C1199" t="s">
        <v>1754</v>
      </c>
    </row>
    <row r="1200" spans="1:3">
      <c r="A1200" t="s">
        <v>529</v>
      </c>
      <c r="B1200" t="s">
        <v>561</v>
      </c>
      <c r="C1200" t="s">
        <v>1755</v>
      </c>
    </row>
    <row r="1201" spans="1:3">
      <c r="A1201" t="s">
        <v>529</v>
      </c>
      <c r="B1201" t="s">
        <v>563</v>
      </c>
      <c r="C1201" t="s">
        <v>1756</v>
      </c>
    </row>
    <row r="1202" spans="1:3">
      <c r="A1202" t="s">
        <v>530</v>
      </c>
      <c r="B1202" t="s">
        <v>549</v>
      </c>
      <c r="C1202" t="s">
        <v>1757</v>
      </c>
    </row>
    <row r="1203" spans="1:3">
      <c r="A1203" t="s">
        <v>530</v>
      </c>
      <c r="B1203" t="s">
        <v>551</v>
      </c>
      <c r="C1203" t="s">
        <v>1758</v>
      </c>
    </row>
    <row r="1204" spans="1:3">
      <c r="A1204" t="s">
        <v>530</v>
      </c>
      <c r="B1204" t="s">
        <v>553</v>
      </c>
      <c r="C1204" t="s">
        <v>1759</v>
      </c>
    </row>
    <row r="1205" spans="1:3">
      <c r="A1205" t="s">
        <v>530</v>
      </c>
      <c r="B1205" t="s">
        <v>555</v>
      </c>
      <c r="C1205" t="s">
        <v>1760</v>
      </c>
    </row>
    <row r="1206" spans="1:3">
      <c r="A1206" t="s">
        <v>530</v>
      </c>
      <c r="B1206" t="s">
        <v>557</v>
      </c>
      <c r="C1206" t="s">
        <v>1761</v>
      </c>
    </row>
    <row r="1207" spans="1:3">
      <c r="A1207" t="s">
        <v>530</v>
      </c>
      <c r="B1207" t="s">
        <v>559</v>
      </c>
      <c r="C1207" t="s">
        <v>1762</v>
      </c>
    </row>
    <row r="1208" spans="1:3">
      <c r="A1208" t="s">
        <v>530</v>
      </c>
      <c r="B1208" t="s">
        <v>561</v>
      </c>
      <c r="C1208" t="s">
        <v>1763</v>
      </c>
    </row>
    <row r="1209" spans="1:3">
      <c r="A1209" t="s">
        <v>530</v>
      </c>
      <c r="B1209" t="s">
        <v>563</v>
      </c>
      <c r="C1209" t="s">
        <v>1764</v>
      </c>
    </row>
    <row r="1210" spans="1:3">
      <c r="A1210" t="s">
        <v>531</v>
      </c>
      <c r="B1210" t="s">
        <v>549</v>
      </c>
      <c r="C1210" t="s">
        <v>1765</v>
      </c>
    </row>
    <row r="1211" spans="1:3">
      <c r="A1211" t="s">
        <v>531</v>
      </c>
      <c r="B1211" t="s">
        <v>551</v>
      </c>
      <c r="C1211" t="s">
        <v>1766</v>
      </c>
    </row>
    <row r="1212" spans="1:3">
      <c r="A1212" t="s">
        <v>531</v>
      </c>
      <c r="B1212" t="s">
        <v>553</v>
      </c>
      <c r="C1212" t="s">
        <v>1767</v>
      </c>
    </row>
    <row r="1213" spans="1:3">
      <c r="A1213" t="s">
        <v>531</v>
      </c>
      <c r="B1213" t="s">
        <v>555</v>
      </c>
      <c r="C1213" t="s">
        <v>1768</v>
      </c>
    </row>
    <row r="1214" spans="1:3">
      <c r="A1214" t="s">
        <v>531</v>
      </c>
      <c r="B1214" t="s">
        <v>557</v>
      </c>
      <c r="C1214" t="s">
        <v>1769</v>
      </c>
    </row>
    <row r="1215" spans="1:3">
      <c r="A1215" t="s">
        <v>531</v>
      </c>
      <c r="B1215" t="s">
        <v>559</v>
      </c>
      <c r="C1215" t="s">
        <v>1770</v>
      </c>
    </row>
    <row r="1216" spans="1:3">
      <c r="A1216" t="s">
        <v>531</v>
      </c>
      <c r="B1216" t="s">
        <v>561</v>
      </c>
      <c r="C1216" t="s">
        <v>1771</v>
      </c>
    </row>
    <row r="1217" spans="1:3">
      <c r="A1217" t="s">
        <v>531</v>
      </c>
      <c r="B1217" t="s">
        <v>563</v>
      </c>
      <c r="C1217" t="s">
        <v>1772</v>
      </c>
    </row>
    <row r="1218" spans="1:3">
      <c r="A1218" t="s">
        <v>532</v>
      </c>
      <c r="B1218" t="s">
        <v>549</v>
      </c>
      <c r="C1218" t="s">
        <v>1773</v>
      </c>
    </row>
    <row r="1219" spans="1:3">
      <c r="A1219" t="s">
        <v>532</v>
      </c>
      <c r="B1219" t="s">
        <v>551</v>
      </c>
      <c r="C1219" t="s">
        <v>1774</v>
      </c>
    </row>
    <row r="1220" spans="1:3">
      <c r="A1220" t="s">
        <v>532</v>
      </c>
      <c r="B1220" t="s">
        <v>553</v>
      </c>
      <c r="C1220" t="s">
        <v>1775</v>
      </c>
    </row>
    <row r="1221" spans="1:3">
      <c r="A1221" t="s">
        <v>532</v>
      </c>
      <c r="B1221" t="s">
        <v>555</v>
      </c>
      <c r="C1221" t="s">
        <v>1776</v>
      </c>
    </row>
    <row r="1222" spans="1:3">
      <c r="A1222" t="s">
        <v>532</v>
      </c>
      <c r="B1222" t="s">
        <v>557</v>
      </c>
      <c r="C1222" t="s">
        <v>1777</v>
      </c>
    </row>
    <row r="1223" spans="1:3">
      <c r="A1223" t="s">
        <v>532</v>
      </c>
      <c r="B1223" t="s">
        <v>559</v>
      </c>
      <c r="C1223" t="s">
        <v>1778</v>
      </c>
    </row>
    <row r="1224" spans="1:3">
      <c r="A1224" t="s">
        <v>532</v>
      </c>
      <c r="B1224" t="s">
        <v>561</v>
      </c>
      <c r="C1224" t="s">
        <v>1779</v>
      </c>
    </row>
    <row r="1225" spans="1:3">
      <c r="A1225" t="s">
        <v>532</v>
      </c>
      <c r="B1225" t="s">
        <v>563</v>
      </c>
      <c r="C1225" t="s">
        <v>1780</v>
      </c>
    </row>
    <row r="1226" spans="1:3">
      <c r="A1226" t="s">
        <v>533</v>
      </c>
      <c r="B1226" t="s">
        <v>549</v>
      </c>
      <c r="C1226" t="s">
        <v>1781</v>
      </c>
    </row>
    <row r="1227" spans="1:3">
      <c r="A1227" t="s">
        <v>533</v>
      </c>
      <c r="B1227" t="s">
        <v>551</v>
      </c>
      <c r="C1227" t="s">
        <v>1782</v>
      </c>
    </row>
    <row r="1228" spans="1:3">
      <c r="A1228" t="s">
        <v>533</v>
      </c>
      <c r="B1228" t="s">
        <v>553</v>
      </c>
      <c r="C1228" t="s">
        <v>1783</v>
      </c>
    </row>
    <row r="1229" spans="1:3">
      <c r="A1229" t="s">
        <v>533</v>
      </c>
      <c r="B1229" t="s">
        <v>555</v>
      </c>
      <c r="C1229" t="s">
        <v>1784</v>
      </c>
    </row>
    <row r="1230" spans="1:3">
      <c r="A1230" t="s">
        <v>533</v>
      </c>
      <c r="B1230" t="s">
        <v>557</v>
      </c>
      <c r="C1230" t="s">
        <v>1785</v>
      </c>
    </row>
    <row r="1231" spans="1:3">
      <c r="A1231" t="s">
        <v>533</v>
      </c>
      <c r="B1231" t="s">
        <v>559</v>
      </c>
      <c r="C1231" t="s">
        <v>1786</v>
      </c>
    </row>
    <row r="1232" spans="1:3">
      <c r="A1232" t="s">
        <v>533</v>
      </c>
      <c r="B1232" t="s">
        <v>561</v>
      </c>
      <c r="C1232" t="s">
        <v>1787</v>
      </c>
    </row>
    <row r="1233" spans="1:3">
      <c r="A1233" t="s">
        <v>533</v>
      </c>
      <c r="B1233" t="s">
        <v>563</v>
      </c>
      <c r="C1233" t="s">
        <v>1788</v>
      </c>
    </row>
    <row r="1234" spans="1:3">
      <c r="A1234" t="s">
        <v>534</v>
      </c>
      <c r="B1234" t="s">
        <v>549</v>
      </c>
      <c r="C1234" t="s">
        <v>1789</v>
      </c>
    </row>
    <row r="1235" spans="1:3">
      <c r="A1235" t="s">
        <v>534</v>
      </c>
      <c r="B1235" t="s">
        <v>551</v>
      </c>
      <c r="C1235" t="s">
        <v>1790</v>
      </c>
    </row>
    <row r="1236" spans="1:3">
      <c r="A1236" t="s">
        <v>534</v>
      </c>
      <c r="B1236" t="s">
        <v>553</v>
      </c>
      <c r="C1236" t="s">
        <v>1791</v>
      </c>
    </row>
    <row r="1237" spans="1:3">
      <c r="A1237" t="s">
        <v>534</v>
      </c>
      <c r="B1237" t="s">
        <v>555</v>
      </c>
      <c r="C1237" t="s">
        <v>1792</v>
      </c>
    </row>
    <row r="1238" spans="1:3">
      <c r="A1238" t="s">
        <v>534</v>
      </c>
      <c r="B1238" t="s">
        <v>557</v>
      </c>
      <c r="C1238" t="s">
        <v>1793</v>
      </c>
    </row>
    <row r="1239" spans="1:3">
      <c r="A1239" t="s">
        <v>534</v>
      </c>
      <c r="B1239" t="s">
        <v>559</v>
      </c>
      <c r="C1239" t="s">
        <v>1794</v>
      </c>
    </row>
    <row r="1240" spans="1:3">
      <c r="A1240" t="s">
        <v>534</v>
      </c>
      <c r="B1240" t="s">
        <v>561</v>
      </c>
      <c r="C1240" t="s">
        <v>1795</v>
      </c>
    </row>
    <row r="1241" spans="1:3">
      <c r="A1241" t="s">
        <v>534</v>
      </c>
      <c r="B1241" t="s">
        <v>563</v>
      </c>
      <c r="C1241" t="s">
        <v>1796</v>
      </c>
    </row>
    <row r="1242" spans="1:3">
      <c r="A1242" t="s">
        <v>535</v>
      </c>
      <c r="B1242" t="s">
        <v>549</v>
      </c>
      <c r="C1242" t="s">
        <v>1797</v>
      </c>
    </row>
    <row r="1243" spans="1:3">
      <c r="A1243" t="s">
        <v>535</v>
      </c>
      <c r="B1243" t="s">
        <v>551</v>
      </c>
      <c r="C1243" t="s">
        <v>1798</v>
      </c>
    </row>
    <row r="1244" spans="1:3">
      <c r="A1244" t="s">
        <v>535</v>
      </c>
      <c r="B1244" t="s">
        <v>553</v>
      </c>
      <c r="C1244" t="s">
        <v>1799</v>
      </c>
    </row>
    <row r="1245" spans="1:3">
      <c r="A1245" t="s">
        <v>535</v>
      </c>
      <c r="B1245" t="s">
        <v>555</v>
      </c>
      <c r="C1245" t="s">
        <v>1800</v>
      </c>
    </row>
    <row r="1246" spans="1:3">
      <c r="A1246" t="s">
        <v>535</v>
      </c>
      <c r="B1246" t="s">
        <v>557</v>
      </c>
      <c r="C1246" t="s">
        <v>1801</v>
      </c>
    </row>
    <row r="1247" spans="1:3">
      <c r="A1247" t="s">
        <v>535</v>
      </c>
      <c r="B1247" t="s">
        <v>559</v>
      </c>
      <c r="C1247" t="s">
        <v>1802</v>
      </c>
    </row>
    <row r="1248" spans="1:3">
      <c r="A1248" t="s">
        <v>535</v>
      </c>
      <c r="B1248" t="s">
        <v>561</v>
      </c>
      <c r="C1248" t="s">
        <v>1803</v>
      </c>
    </row>
    <row r="1249" spans="1:3">
      <c r="A1249" t="s">
        <v>535</v>
      </c>
      <c r="B1249" t="s">
        <v>563</v>
      </c>
      <c r="C1249" t="s">
        <v>1804</v>
      </c>
    </row>
    <row r="1250" spans="1:3">
      <c r="A1250" t="s">
        <v>536</v>
      </c>
      <c r="B1250" t="s">
        <v>549</v>
      </c>
      <c r="C1250" t="s">
        <v>1805</v>
      </c>
    </row>
    <row r="1251" spans="1:3">
      <c r="A1251" t="s">
        <v>536</v>
      </c>
      <c r="B1251" t="s">
        <v>551</v>
      </c>
      <c r="C1251" t="s">
        <v>1806</v>
      </c>
    </row>
    <row r="1252" spans="1:3">
      <c r="A1252" t="s">
        <v>536</v>
      </c>
      <c r="B1252" t="s">
        <v>553</v>
      </c>
      <c r="C1252" t="s">
        <v>1807</v>
      </c>
    </row>
    <row r="1253" spans="1:3">
      <c r="A1253" t="s">
        <v>536</v>
      </c>
      <c r="B1253" t="s">
        <v>555</v>
      </c>
      <c r="C1253" t="s">
        <v>1808</v>
      </c>
    </row>
    <row r="1254" spans="1:3">
      <c r="A1254" t="s">
        <v>536</v>
      </c>
      <c r="B1254" t="s">
        <v>557</v>
      </c>
      <c r="C1254" t="s">
        <v>1809</v>
      </c>
    </row>
    <row r="1255" spans="1:3">
      <c r="A1255" t="s">
        <v>536</v>
      </c>
      <c r="B1255" t="s">
        <v>559</v>
      </c>
      <c r="C1255" t="s">
        <v>1810</v>
      </c>
    </row>
    <row r="1256" spans="1:3">
      <c r="A1256" t="s">
        <v>536</v>
      </c>
      <c r="B1256" t="s">
        <v>561</v>
      </c>
      <c r="C1256" t="s">
        <v>1811</v>
      </c>
    </row>
    <row r="1257" spans="1:3">
      <c r="A1257" t="s">
        <v>536</v>
      </c>
      <c r="B1257" t="s">
        <v>563</v>
      </c>
      <c r="C1257" t="s">
        <v>1812</v>
      </c>
    </row>
    <row r="1258" spans="1:3">
      <c r="A1258" t="s">
        <v>537</v>
      </c>
      <c r="B1258" t="s">
        <v>549</v>
      </c>
      <c r="C1258" t="s">
        <v>1813</v>
      </c>
    </row>
    <row r="1259" spans="1:3">
      <c r="A1259" t="s">
        <v>537</v>
      </c>
      <c r="B1259" t="s">
        <v>551</v>
      </c>
      <c r="C1259" t="s">
        <v>1814</v>
      </c>
    </row>
    <row r="1260" spans="1:3">
      <c r="A1260" t="s">
        <v>537</v>
      </c>
      <c r="B1260" t="s">
        <v>553</v>
      </c>
      <c r="C1260" t="s">
        <v>1815</v>
      </c>
    </row>
    <row r="1261" spans="1:3">
      <c r="A1261" t="s">
        <v>537</v>
      </c>
      <c r="B1261" t="s">
        <v>555</v>
      </c>
      <c r="C1261" t="s">
        <v>1816</v>
      </c>
    </row>
    <row r="1262" spans="1:3">
      <c r="A1262" t="s">
        <v>537</v>
      </c>
      <c r="B1262" t="s">
        <v>557</v>
      </c>
      <c r="C1262" t="s">
        <v>1817</v>
      </c>
    </row>
    <row r="1263" spans="1:3">
      <c r="A1263" t="s">
        <v>537</v>
      </c>
      <c r="B1263" t="s">
        <v>559</v>
      </c>
      <c r="C1263" t="s">
        <v>1818</v>
      </c>
    </row>
    <row r="1264" spans="1:3">
      <c r="A1264" t="s">
        <v>537</v>
      </c>
      <c r="B1264" t="s">
        <v>561</v>
      </c>
      <c r="C1264" t="s">
        <v>1819</v>
      </c>
    </row>
    <row r="1265" spans="1:3">
      <c r="A1265" t="s">
        <v>537</v>
      </c>
      <c r="B1265" t="s">
        <v>563</v>
      </c>
      <c r="C1265" t="s">
        <v>1820</v>
      </c>
    </row>
    <row r="1266" spans="1:3">
      <c r="A1266" t="s">
        <v>538</v>
      </c>
      <c r="B1266" t="s">
        <v>549</v>
      </c>
      <c r="C1266" t="s">
        <v>1821</v>
      </c>
    </row>
    <row r="1267" spans="1:3">
      <c r="A1267" t="s">
        <v>538</v>
      </c>
      <c r="B1267" t="s">
        <v>551</v>
      </c>
      <c r="C1267" t="s">
        <v>1822</v>
      </c>
    </row>
    <row r="1268" spans="1:3">
      <c r="A1268" t="s">
        <v>538</v>
      </c>
      <c r="B1268" t="s">
        <v>553</v>
      </c>
      <c r="C1268" t="s">
        <v>1823</v>
      </c>
    </row>
    <row r="1269" spans="1:3">
      <c r="A1269" t="s">
        <v>538</v>
      </c>
      <c r="B1269" t="s">
        <v>555</v>
      </c>
      <c r="C1269" t="s">
        <v>1824</v>
      </c>
    </row>
    <row r="1270" spans="1:3">
      <c r="A1270" t="s">
        <v>538</v>
      </c>
      <c r="B1270" t="s">
        <v>557</v>
      </c>
      <c r="C1270" t="s">
        <v>1825</v>
      </c>
    </row>
    <row r="1271" spans="1:3">
      <c r="A1271" t="s">
        <v>538</v>
      </c>
      <c r="B1271" t="s">
        <v>559</v>
      </c>
      <c r="C1271" t="s">
        <v>1826</v>
      </c>
    </row>
    <row r="1272" spans="1:3">
      <c r="A1272" t="s">
        <v>538</v>
      </c>
      <c r="B1272" t="s">
        <v>561</v>
      </c>
      <c r="C1272" t="s">
        <v>1827</v>
      </c>
    </row>
    <row r="1273" spans="1:3">
      <c r="A1273" t="s">
        <v>538</v>
      </c>
      <c r="B1273" t="s">
        <v>563</v>
      </c>
      <c r="C1273" t="s">
        <v>1828</v>
      </c>
    </row>
    <row r="1274" spans="1:3">
      <c r="A1274" t="s">
        <v>539</v>
      </c>
      <c r="B1274" t="s">
        <v>549</v>
      </c>
      <c r="C1274" t="s">
        <v>1829</v>
      </c>
    </row>
    <row r="1275" spans="1:3">
      <c r="A1275" t="s">
        <v>539</v>
      </c>
      <c r="B1275" t="s">
        <v>551</v>
      </c>
      <c r="C1275" t="s">
        <v>1830</v>
      </c>
    </row>
    <row r="1276" spans="1:3">
      <c r="A1276" t="s">
        <v>539</v>
      </c>
      <c r="B1276" t="s">
        <v>553</v>
      </c>
      <c r="C1276" t="s">
        <v>1831</v>
      </c>
    </row>
    <row r="1277" spans="1:3">
      <c r="A1277" t="s">
        <v>539</v>
      </c>
      <c r="B1277" t="s">
        <v>555</v>
      </c>
      <c r="C1277" t="s">
        <v>1832</v>
      </c>
    </row>
    <row r="1278" spans="1:3">
      <c r="A1278" t="s">
        <v>539</v>
      </c>
      <c r="B1278" t="s">
        <v>557</v>
      </c>
      <c r="C1278" t="s">
        <v>1833</v>
      </c>
    </row>
    <row r="1279" spans="1:3">
      <c r="A1279" t="s">
        <v>539</v>
      </c>
      <c r="B1279" t="s">
        <v>559</v>
      </c>
      <c r="C1279" t="s">
        <v>1834</v>
      </c>
    </row>
    <row r="1280" spans="1:3">
      <c r="A1280" t="s">
        <v>539</v>
      </c>
      <c r="B1280" t="s">
        <v>561</v>
      </c>
      <c r="C1280" t="s">
        <v>1835</v>
      </c>
    </row>
    <row r="1281" spans="1:3">
      <c r="A1281" t="s">
        <v>539</v>
      </c>
      <c r="B1281" t="s">
        <v>563</v>
      </c>
      <c r="C1281" t="s">
        <v>1836</v>
      </c>
    </row>
    <row r="1282" spans="1:3">
      <c r="A1282" t="s">
        <v>540</v>
      </c>
      <c r="B1282" t="s">
        <v>549</v>
      </c>
      <c r="C1282" t="s">
        <v>1837</v>
      </c>
    </row>
    <row r="1283" spans="1:3">
      <c r="A1283" t="s">
        <v>540</v>
      </c>
      <c r="B1283" t="s">
        <v>551</v>
      </c>
      <c r="C1283" t="s">
        <v>1838</v>
      </c>
    </row>
    <row r="1284" spans="1:3">
      <c r="A1284" t="s">
        <v>540</v>
      </c>
      <c r="B1284" t="s">
        <v>553</v>
      </c>
      <c r="C1284" t="s">
        <v>1839</v>
      </c>
    </row>
    <row r="1285" spans="1:3">
      <c r="A1285" t="s">
        <v>540</v>
      </c>
      <c r="B1285" t="s">
        <v>555</v>
      </c>
      <c r="C1285" t="s">
        <v>1840</v>
      </c>
    </row>
    <row r="1286" spans="1:3">
      <c r="A1286" t="s">
        <v>540</v>
      </c>
      <c r="B1286" t="s">
        <v>557</v>
      </c>
      <c r="C1286" t="s">
        <v>1841</v>
      </c>
    </row>
    <row r="1287" spans="1:3">
      <c r="A1287" t="s">
        <v>540</v>
      </c>
      <c r="B1287" t="s">
        <v>559</v>
      </c>
      <c r="C1287" t="s">
        <v>1842</v>
      </c>
    </row>
    <row r="1288" spans="1:3">
      <c r="A1288" t="s">
        <v>540</v>
      </c>
      <c r="B1288" t="s">
        <v>561</v>
      </c>
      <c r="C1288" t="s">
        <v>1843</v>
      </c>
    </row>
    <row r="1289" spans="1:3">
      <c r="A1289" t="s">
        <v>540</v>
      </c>
      <c r="B1289" t="s">
        <v>563</v>
      </c>
      <c r="C1289" t="s">
        <v>1844</v>
      </c>
    </row>
    <row r="1290" spans="1:3">
      <c r="A1290" t="s">
        <v>541</v>
      </c>
      <c r="B1290" t="s">
        <v>549</v>
      </c>
      <c r="C1290" t="s">
        <v>1845</v>
      </c>
    </row>
    <row r="1291" spans="1:3">
      <c r="A1291" t="s">
        <v>541</v>
      </c>
      <c r="B1291" t="s">
        <v>551</v>
      </c>
      <c r="C1291" t="s">
        <v>1846</v>
      </c>
    </row>
    <row r="1292" spans="1:3">
      <c r="A1292" t="s">
        <v>541</v>
      </c>
      <c r="B1292" t="s">
        <v>553</v>
      </c>
      <c r="C1292" t="s">
        <v>1847</v>
      </c>
    </row>
    <row r="1293" spans="1:3">
      <c r="A1293" t="s">
        <v>541</v>
      </c>
      <c r="B1293" t="s">
        <v>555</v>
      </c>
      <c r="C1293" t="s">
        <v>1848</v>
      </c>
    </row>
    <row r="1294" spans="1:3">
      <c r="A1294" t="s">
        <v>541</v>
      </c>
      <c r="B1294" t="s">
        <v>557</v>
      </c>
      <c r="C1294" t="s">
        <v>1849</v>
      </c>
    </row>
    <row r="1295" spans="1:3">
      <c r="A1295" t="s">
        <v>541</v>
      </c>
      <c r="B1295" t="s">
        <v>559</v>
      </c>
      <c r="C1295" t="s">
        <v>1850</v>
      </c>
    </row>
    <row r="1296" spans="1:3">
      <c r="A1296" t="s">
        <v>541</v>
      </c>
      <c r="B1296" t="s">
        <v>561</v>
      </c>
      <c r="C1296" t="s">
        <v>1851</v>
      </c>
    </row>
    <row r="1297" spans="1:3">
      <c r="A1297" t="s">
        <v>541</v>
      </c>
      <c r="B1297" t="s">
        <v>563</v>
      </c>
      <c r="C1297" t="s">
        <v>1852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DCAEC3-A9DA-4CBA-9DD4-C7319485ACBC}">
  <sheetPr codeName="Sheet4"/>
  <dimension ref="A1:C20"/>
  <sheetViews>
    <sheetView workbookViewId="0">
      <selection activeCell="G11" sqref="G11"/>
    </sheetView>
  </sheetViews>
  <sheetFormatPr defaultRowHeight="18"/>
  <cols>
    <col min="2" max="2" width="10.19921875" customWidth="1"/>
    <col min="3" max="3" width="9.09765625" customWidth="1"/>
  </cols>
  <sheetData>
    <row r="1" spans="1:3">
      <c r="A1" t="s">
        <v>3</v>
      </c>
      <c r="B1" t="s">
        <v>4</v>
      </c>
      <c r="C1" t="s">
        <v>5</v>
      </c>
    </row>
    <row r="2" spans="1:3">
      <c r="A2" t="s">
        <v>17</v>
      </c>
      <c r="B2">
        <v>2443</v>
      </c>
      <c r="C2">
        <v>30161</v>
      </c>
    </row>
    <row r="3" spans="1:3">
      <c r="A3" t="s">
        <v>18</v>
      </c>
      <c r="B3">
        <v>2444</v>
      </c>
      <c r="C3">
        <v>30162</v>
      </c>
    </row>
    <row r="4" spans="1:3">
      <c r="A4" t="s">
        <v>19</v>
      </c>
      <c r="B4">
        <v>2445</v>
      </c>
      <c r="C4">
        <v>30163</v>
      </c>
    </row>
    <row r="5" spans="1:3">
      <c r="A5" t="s">
        <v>20</v>
      </c>
      <c r="B5">
        <v>2446</v>
      </c>
      <c r="C5">
        <v>30164</v>
      </c>
    </row>
    <row r="6" spans="1:3">
      <c r="A6" t="s">
        <v>21</v>
      </c>
      <c r="B6">
        <v>2447</v>
      </c>
      <c r="C6">
        <v>30165</v>
      </c>
    </row>
    <row r="7" spans="1:3">
      <c r="A7" t="s">
        <v>22</v>
      </c>
      <c r="B7">
        <v>2448</v>
      </c>
      <c r="C7">
        <v>30166</v>
      </c>
    </row>
    <row r="8" spans="1:3">
      <c r="A8" t="s">
        <v>23</v>
      </c>
      <c r="B8">
        <v>2449</v>
      </c>
      <c r="C8">
        <v>30167</v>
      </c>
    </row>
    <row r="9" spans="1:3">
      <c r="A9" t="s">
        <v>24</v>
      </c>
      <c r="B9">
        <v>2450</v>
      </c>
      <c r="C9">
        <v>30168</v>
      </c>
    </row>
    <row r="10" spans="1:3">
      <c r="A10" t="s">
        <v>25</v>
      </c>
      <c r="B10">
        <v>2451</v>
      </c>
      <c r="C10">
        <v>30169</v>
      </c>
    </row>
    <row r="11" spans="1:3">
      <c r="A11" t="s">
        <v>26</v>
      </c>
      <c r="B11">
        <v>2452</v>
      </c>
      <c r="C11">
        <v>30170</v>
      </c>
    </row>
    <row r="12" spans="1:3">
      <c r="A12" t="s">
        <v>27</v>
      </c>
      <c r="B12">
        <v>2453</v>
      </c>
      <c r="C12">
        <v>30171</v>
      </c>
    </row>
    <row r="13" spans="1:3">
      <c r="A13" t="s">
        <v>28</v>
      </c>
      <c r="B13">
        <v>2454</v>
      </c>
      <c r="C13">
        <v>30172</v>
      </c>
    </row>
    <row r="14" spans="1:3">
      <c r="A14" t="s">
        <v>29</v>
      </c>
      <c r="B14">
        <v>2455</v>
      </c>
      <c r="C14">
        <v>30173</v>
      </c>
    </row>
    <row r="15" spans="1:3">
      <c r="A15" t="s">
        <v>371</v>
      </c>
      <c r="B15">
        <v>2456</v>
      </c>
      <c r="C15">
        <v>30174</v>
      </c>
    </row>
    <row r="16" spans="1:3">
      <c r="A16" t="s">
        <v>372</v>
      </c>
      <c r="B16">
        <v>2457</v>
      </c>
      <c r="C16">
        <v>30175</v>
      </c>
    </row>
    <row r="17" spans="1:3">
      <c r="A17" t="s">
        <v>373</v>
      </c>
      <c r="B17">
        <v>2458</v>
      </c>
      <c r="C17">
        <v>30176</v>
      </c>
    </row>
    <row r="18" spans="1:3">
      <c r="A18" t="s">
        <v>374</v>
      </c>
      <c r="B18">
        <v>2459</v>
      </c>
      <c r="C18">
        <v>30177</v>
      </c>
    </row>
    <row r="19" spans="1:3">
      <c r="A19" t="s">
        <v>375</v>
      </c>
      <c r="B19">
        <v>2460</v>
      </c>
      <c r="C19">
        <v>30178</v>
      </c>
    </row>
    <row r="20" spans="1:3">
      <c r="A20" t="s">
        <v>376</v>
      </c>
      <c r="B20">
        <v>2461</v>
      </c>
      <c r="C20">
        <v>30179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CCAC2B-1DA5-4C15-B10C-C86AAECEC18A}">
  <sheetPr codeName="Sheet5">
    <tabColor theme="0" tint="-0.499984740745262"/>
  </sheetPr>
  <dimension ref="A1:C13"/>
  <sheetViews>
    <sheetView topLeftCell="A3" workbookViewId="0">
      <selection activeCell="C11" sqref="C11"/>
    </sheetView>
  </sheetViews>
  <sheetFormatPr defaultRowHeight="18"/>
  <sheetData>
    <row r="1" spans="1:3" ht="22.2">
      <c r="A1" s="8" t="s">
        <v>355</v>
      </c>
    </row>
    <row r="2" spans="1:3">
      <c r="A2" s="11" t="s">
        <v>1854</v>
      </c>
      <c r="B2" s="11"/>
      <c r="C2" s="11"/>
    </row>
    <row r="3" spans="1:3">
      <c r="A3" s="12">
        <v>44955</v>
      </c>
      <c r="B3" s="12" t="s">
        <v>354</v>
      </c>
      <c r="C3" s="11" t="s">
        <v>356</v>
      </c>
    </row>
    <row r="4" spans="1:3">
      <c r="A4" s="11"/>
      <c r="B4" s="12" t="s">
        <v>359</v>
      </c>
      <c r="C4" s="11" t="s">
        <v>361</v>
      </c>
    </row>
    <row r="5" spans="1:3">
      <c r="A5" s="11"/>
      <c r="B5" s="12" t="s">
        <v>360</v>
      </c>
      <c r="C5" s="11" t="s">
        <v>362</v>
      </c>
    </row>
    <row r="6" spans="1:3">
      <c r="A6" s="11"/>
      <c r="B6" s="12" t="s">
        <v>364</v>
      </c>
      <c r="C6" s="11" t="s">
        <v>365</v>
      </c>
    </row>
    <row r="7" spans="1:3">
      <c r="A7" s="11"/>
      <c r="B7" s="12" t="s">
        <v>544</v>
      </c>
      <c r="C7" s="11" t="s">
        <v>545</v>
      </c>
    </row>
    <row r="8" spans="1:3">
      <c r="A8" s="11"/>
      <c r="B8" s="12" t="s">
        <v>546</v>
      </c>
      <c r="C8" s="11" t="s">
        <v>547</v>
      </c>
    </row>
    <row r="9" spans="1:3">
      <c r="A9" t="s">
        <v>1853</v>
      </c>
    </row>
    <row r="10" spans="1:3">
      <c r="A10" s="7">
        <v>45824</v>
      </c>
      <c r="B10" s="7" t="s">
        <v>546</v>
      </c>
      <c r="C10" t="s">
        <v>1855</v>
      </c>
    </row>
    <row r="12" spans="1:3">
      <c r="A12" t="s">
        <v>548</v>
      </c>
    </row>
    <row r="13" spans="1:3">
      <c r="A13" t="s">
        <v>357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E8D081-79E4-4130-9B35-998FD62DF477}">
  <sheetPr codeName="Sheet6">
    <tabColor theme="2" tint="-9.9978637043366805E-2"/>
  </sheetPr>
  <dimension ref="B2:B10"/>
  <sheetViews>
    <sheetView workbookViewId="0">
      <selection activeCell="B9" sqref="B9"/>
    </sheetView>
  </sheetViews>
  <sheetFormatPr defaultRowHeight="18"/>
  <cols>
    <col min="1" max="1" width="3.19921875" customWidth="1"/>
    <col min="2" max="2" width="148.796875" customWidth="1"/>
  </cols>
  <sheetData>
    <row r="2" spans="2:2" ht="36">
      <c r="B2" s="10" t="s">
        <v>377</v>
      </c>
    </row>
    <row r="4" spans="2:2">
      <c r="B4" t="s">
        <v>367</v>
      </c>
    </row>
    <row r="6" spans="2:2" ht="180">
      <c r="B6" s="10" t="s">
        <v>378</v>
      </c>
    </row>
    <row r="9" spans="2:2">
      <c r="B9" t="s">
        <v>368</v>
      </c>
    </row>
    <row r="10" spans="2:2">
      <c r="B10" t="s">
        <v>369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A87312-153D-44A4-B620-79BF084A8929}">
  <sheetPr codeName="Sheet2"/>
  <dimension ref="A1:N256"/>
  <sheetViews>
    <sheetView workbookViewId="0">
      <selection activeCell="L1" sqref="L1"/>
    </sheetView>
  </sheetViews>
  <sheetFormatPr defaultRowHeight="18"/>
  <sheetData>
    <row r="1" spans="1:14">
      <c r="A1" t="str">
        <f>CONCATENATE($B$2,$B$3,$B$4,$B$5,$B$6,$B$7,$B$8,$B$9,$B$10,$B$11,$B$12,$B$13,$B$14,$B$15,$B$16,$B$17,$B$18,$B$19,$B$20,$B$21,$B$22,$B$23,$B$24,$B$25,$B$26,$B$27,$B$28,$B$29,$B$30,$B$31,$B$32,$B$33,$B$34,$B$35,$B$36,$B$37,$B$38,$B$39,$B$40,$B$41,$B$42,$B$43,$B$44,$B$45,$B$46,$B$47,$B$48,$B$49,$B$50,$B$51,$B$52,$B$53,$B$54,$B$55,$B$56,$B$57,$B$58,$B$59,$B$60,$B$61,$B$62,$B$63,$B$64,$B$65)</f>
        <v>\u56fd\u6709\u6797\u30c7\u30fc\u30bf_\u5341\u52dd\u6771\u90e8\u7f72_R4</v>
      </c>
      <c r="D1" t="str">
        <f>CONCATENATE($E$2,$E$3,$E$4,$E$5,$E$6,$E$7,$E$8,$E$9,$E$10,$E$11,$E$12,$E$13,$E$14,$E$15,$E$16,$E$17,$E$18,$E$19,$E$20,$E$21,$E$22,$E$23,$E$24,$E$25,$E$26,$E$27,$E$28,$E$29,$E$30,$E$31,$E$32,$E$33,$E$34,$E$35,$E$36,$E$37,$E$38,$E$39,$E$40,$E$41,$E$42,$E$43,$E$44,$E$45,$E$46,$E$47,$E$48,$E$49,$E$50,$E$51,$E$52,$E$53,$E$54,$E$55,$E$56,$E$57,$E$58,$E$59,$E$60,$E$61,$E$62,$E$63,$E$64,$E$65)</f>
        <v>\u7b2c16\u7cfb</v>
      </c>
      <c r="H1" t="str">
        <f>CONCATENATE($I$2,$I$3,$I$4,$I$5,$I$6,$I$7,$I$8,$I$9,$I$10,$I$11,$I$12,$I$13,$I$14,$I$15,$I$16,$I$17,$I$18,$I$19,$I$20,$I$21,$I$22,$I$23,$I$24,$I$25,$I$26,$I$27,$I$28,$I$29,$I$30,$I$31,$I$32,$I$33,$I$34,$I$35,$I$36,$I$37,$I$38,$I$39,$I$40,$I$41,$I$42,$I$43,$I$44,$I$45,$I$46,$I$47,$I$48,$I$49,$I$50,$I$51,$I$52,$I$53,$I$54,$I$55,$I$56,$I$57,$I$58,$I$59,$I$60,$I$61,$I$62,$I$63,$I$64,$I$65,$I$66,$I$67,$I$68,$I$69,$I$70,$I$71,$I$72,$I$73,$I$74,$I$75,$I$76,$I$77,$I$78,$I$79,$I$80,$I$81,$I$82,$I$83,$I$84,$I$85,$I$86,$I$87,$I$88,$I$89,$I$90,$I$91,$I$92,$I$93,$I$94,$I$95,$I$96,$I$97,$I$98,$I$99,$I$100,$I$101,$I$102,$I$103,$I$104,$I$105,$I$106,$I$107,$I$108,$I$109,$I$110,$I$111,$I$112,$I$113,$I$114,$I$115,$I$116,$I$117,$I$118,$I$119,$I$120,$I$121,$I$122,$I$123,$I$124,$I$125,$I$126,$I$127,$I$128,$I$129,$I$130,$I$131,$I$132,$I$133,$I$134,$I$135,$I$136,$I$137,$I$138,$I$139,$I$140,$I$141,$I$142,$I$143,$I$144,$I$145,$I$146,$I$147,$I$148,$I$149,$I$150,$I$151,$I$152,$I$153,$I$154,$I$155,$I$156,$I$157,$I$158,$I$159,$I$160,$I$161,$I$162,$I$163,$I$164,$I$165,$I$166,$I$167,$I$168,$I$169,$I$170,$I$171,$I$172,$I$173,$I$174,$I$175,$I$176,$I$177,$I$178,$I$179,$I$180,$I$181,$I$182,$I$183,$I$184,$I$185,$I$186,$I$187,$I$188,$I$189,$I$190,$I$191,$I$192,$I$193,$I$194,$I$195,$I$196,$I$197,$I$198,$I$199,$I$200,$I$201,$I$202,$I$203,$I$204,$I$205,$I$206,$I$207,$I$208,$I$209,$I$210,$I$211,$I$212,$I$213,$I$214,$I$215,$I$216,$I$217,$I$218,$I$219,$I$220,$I$221,$I$222,$I$223,$I$224,$I$225,$I$226,$I$227,$I$228,$I$229,$I$230,$I$231,$I$232,$I$233,$I$234,$I$235,$I$236,$I$237,$I$238,$I$239,$I$240,$I$241,$I$242,$I$243,$I$244,$I$245,$I$246,$I$247,$I$248,$I$249,$I$250,$I$251,$I$252,$I$253,$I$254,$I$255,$I$256)&amp;"/"</f>
        <v>E:/G\u7a7a\u9593\u60c5\u5831\u30bb\u30f3\u30bf\u30fc/47\u6c96\u7e04\u770c/158\u5bae\u53e4\u516b\u91cd\u5c71\u68ee\u6797\u8a08\u753b\u533a/\u7b2c16\u7cfb/</v>
      </c>
      <c r="L1" t="str">
        <f>CONCATENATE($M$2,$M$3,$M$4,$M$5,$M$6,$M$7,$M$8,$M$9,$M$10,$M$11,$M$12,$M$13,$M$14,$M$15,$M$16,$M$17,$M$18,$M$19,$M$20,$M$21,$M$22,$M$23,$M$24,$M$25,$M$26,$M$27,$M$28,$M$29,$M$30,$M$31,$M$32,$M$33,$M$34,$M$35,$M$36,$M$37,$M$38,$M$39,$M$40,$M$41,$M$42,$M$43,$M$44,$M$45,$M$46,$M$47,$M$48,$M$49,$M$50,$M$51,$M$52,$M$53,$M$54,$M$55,$M$56,$M$57,$M$58,$M$59,$M$60,$M$61,$M$62,$M$63,$M$64,$M$65,$M$66,$M$67,$M$68,$M$69,$M$70,$M$71,$M$72,$M$73,$M$74,$M$75,$M$76,$M$77,$M$78,$M$79,$M$80,$M$81,$M$82,$M$83,$M$84,$M$85,$M$86,$M$87,$M$88,$M$89,$M$90,$M$91,$M$92,$M$93,$M$94,$M$95,$M$96,$M$97,$M$98,$M$99,$M$100,$M$101,$M$102,$M$103,$M$104,$M$105,$M$106,$M$107,$M$108,$M$109,$M$110,$M$111,$M$112,$M$113,$M$114,$M$115,$M$116,$M$117,$M$118,$M$119,$M$120,$M$121,$M$122,$M$123,$M$124,$M$125,$M$126,$M$127,$M$128,$M$129,$M$130,$M$131,$M$132,$M$133,$M$134,$M$135,$M$136,$M$137,$M$138,$M$139,$M$140,$M$141,$M$142,$M$143,$M$144,$M$145,$M$146,$M$147,$M$148,$M$149,$M$150,$M$151,$M$152,$M$153,$M$154,$M$155,$M$156,$M$157,$M$158,$M$159,$M$160,$M$161,$M$162,$M$163,$M$164,$M$165,$M$166,$M$167,$M$168,$M$169,$M$170,$M$171,$M$172,$M$173,$M$174,$M$175,$M$176,$M$177,$M$178,$M$179,$M$180,$M$181,$M$182,$M$183,$M$184,$M$185,$M$186,$M$187,$M$188,$M$189,$M$190,$M$191,$M$192,$M$193,$M$194,$M$195,$M$196,$M$197,$M$198,$M$199,$M$200,$M$201,$M$202,$M$203,$M$204,$M$205,$M$206,$M$207,$M$208,$M$209,$M$210,$M$211,$M$212,$M$213,$M$214,$M$215,$M$216,$M$217,$M$218,$M$219,$M$220,$M$221,$M$222,$M$223,$M$224,$M$225,$M$226,$M$227,$M$228,$M$229,$M$230,$M$231,$M$232,$M$233,$M$234,$M$235,$M$236,$M$237,$M$238,$M$239,$M$240,$M$241,$M$242,$M$243,$M$244,$M$245,$M$246,$M$247,$M$248,$M$249,$M$250,$M$251,$M$252,$M$253,$M$254,$M$255,$M$256)&amp;"/"</f>
        <v>E:/G\u7a7a\u9593\u60c5\u5831\u30bb\u30f3\u30bf\u30fc/47\u6c96\u7e04\u770c/158\u5bae\u53e4\u516b\u91cd\u5c71\u68ee\u6797\u8a08\u753b\u533aTKY2JGD/\u7b2c16\u7cfb/</v>
      </c>
    </row>
    <row r="2" spans="1:14">
      <c r="A2" t="str">
        <f>LEFT(変換元ファイル名,1)</f>
        <v>国</v>
      </c>
      <c r="B2" t="str">
        <f>IFERROR(IF(_xlfn.UNICODE(A2)&lt;4096,A2,"\u"&amp;LOWER(DEC2HEX(_xlfn.UNICODE(A2)))),"")</f>
        <v>\u56fd</v>
      </c>
      <c r="D2" t="str">
        <f t="shared" ref="D2:D34" si="0">MID(出力ファイル名,ROW()-1,1)</f>
        <v>第</v>
      </c>
      <c r="E2" t="str">
        <f t="shared" ref="E2:E65" si="1">IFERROR(IF(_xlfn.UNICODE($D2)&lt;4096,$D2,"\u"&amp;LOWER(DEC2HEX(_xlfn.UNICODE($D2)))),"")</f>
        <v>\u7b2c</v>
      </c>
      <c r="F2" t="s">
        <v>35</v>
      </c>
      <c r="H2" t="str">
        <f>LEFT(変換元フォルダ,1)</f>
        <v>E</v>
      </c>
      <c r="I2" t="str">
        <f>IFERROR(IF(_xlfn.UNICODE($H2)&lt;4096,IF($H2="\","/",$H2),"\u"&amp;LOWER(DEC2HEX(_xlfn.UNICODE($H2)))),"")</f>
        <v>E</v>
      </c>
      <c r="J2" t="s">
        <v>98</v>
      </c>
      <c r="L2" t="str" cm="1">
        <f t="array" ref="L2">LEFT(変換先フォルダ,1)</f>
        <v>E</v>
      </c>
      <c r="M2" t="str">
        <f>IFERROR(IF(_xlfn.UNICODE($L2)&lt;4096,IF($L2="\","/",$L2),"\u"&amp;LOWER(DEC2HEX(_xlfn.UNICODE($L2)))),"")</f>
        <v>E</v>
      </c>
      <c r="N2" t="s">
        <v>98</v>
      </c>
    </row>
    <row r="3" spans="1:14">
      <c r="A3" t="str">
        <f t="shared" ref="A3:A34" si="2">MID(変換元ファイル名,ROW()-1,1)</f>
        <v>有</v>
      </c>
      <c r="B3" t="str">
        <f t="shared" ref="B3:B65" si="3">IFERROR(IF(_xlfn.UNICODE(A3)&lt;4096,A3,"\u"&amp;LOWER(DEC2HEX(_xlfn.UNICODE(A3)))),"")</f>
        <v>\u6709</v>
      </c>
      <c r="D3" t="str">
        <f t="shared" si="0"/>
        <v>1</v>
      </c>
      <c r="E3" t="str">
        <f t="shared" si="1"/>
        <v>1</v>
      </c>
      <c r="F3" t="s">
        <v>36</v>
      </c>
      <c r="H3" t="str">
        <f t="shared" ref="H3:H66" si="4">MID(変換元フォルダ,ROW()-1,1)</f>
        <v>:</v>
      </c>
      <c r="I3" t="str">
        <f t="shared" ref="I3:I66" si="5">IFERROR(IF(_xlfn.UNICODE($H3)&lt;4096,IF($H3="\","/",$H3),"\u"&amp;LOWER(DEC2HEX(_xlfn.UNICODE($H3)))),"")</f>
        <v>:</v>
      </c>
      <c r="J3" t="s">
        <v>99</v>
      </c>
      <c r="L3" t="str">
        <f t="shared" ref="L3:L66" si="6">MID(変換先フォルダ,ROW()-1,1)</f>
        <v>:</v>
      </c>
      <c r="M3" t="str">
        <f t="shared" ref="M3:M66" si="7">IFERROR(IF(_xlfn.UNICODE($L3)&lt;4096,IF($L3="\","/",$L3),"\u"&amp;LOWER(DEC2HEX(_xlfn.UNICODE($L3)))),"")</f>
        <v>:</v>
      </c>
      <c r="N3" t="s">
        <v>99</v>
      </c>
    </row>
    <row r="4" spans="1:14">
      <c r="A4" t="str">
        <f t="shared" si="2"/>
        <v>林</v>
      </c>
      <c r="B4" t="str">
        <f t="shared" si="3"/>
        <v>\u6797</v>
      </c>
      <c r="D4" t="str">
        <f t="shared" si="0"/>
        <v>6</v>
      </c>
      <c r="E4" t="str">
        <f t="shared" si="1"/>
        <v>6</v>
      </c>
      <c r="F4" t="s">
        <v>37</v>
      </c>
      <c r="H4" t="str">
        <f t="shared" si="4"/>
        <v>\</v>
      </c>
      <c r="I4" t="str">
        <f t="shared" si="5"/>
        <v>/</v>
      </c>
      <c r="J4" t="s">
        <v>100</v>
      </c>
      <c r="L4" t="str">
        <f t="shared" si="6"/>
        <v>\</v>
      </c>
      <c r="M4" t="str">
        <f t="shared" si="7"/>
        <v>/</v>
      </c>
      <c r="N4" t="s">
        <v>100</v>
      </c>
    </row>
    <row r="5" spans="1:14">
      <c r="A5" t="str">
        <f t="shared" si="2"/>
        <v>デ</v>
      </c>
      <c r="B5" t="str">
        <f t="shared" si="3"/>
        <v>\u30c7</v>
      </c>
      <c r="D5" t="str">
        <f t="shared" si="0"/>
        <v>系</v>
      </c>
      <c r="E5" t="str">
        <f t="shared" si="1"/>
        <v>\u7cfb</v>
      </c>
      <c r="F5" t="s">
        <v>38</v>
      </c>
      <c r="H5" t="str">
        <f t="shared" si="4"/>
        <v>G</v>
      </c>
      <c r="I5" t="str">
        <f t="shared" si="5"/>
        <v>G</v>
      </c>
      <c r="J5" t="s">
        <v>101</v>
      </c>
      <c r="L5" t="str">
        <f t="shared" si="6"/>
        <v>G</v>
      </c>
      <c r="M5" t="str">
        <f t="shared" si="7"/>
        <v>G</v>
      </c>
      <c r="N5" t="s">
        <v>101</v>
      </c>
    </row>
    <row r="6" spans="1:14">
      <c r="A6" t="str">
        <f t="shared" si="2"/>
        <v>ー</v>
      </c>
      <c r="B6" t="str">
        <f t="shared" si="3"/>
        <v>\u30fc</v>
      </c>
      <c r="D6" t="str">
        <f t="shared" si="0"/>
        <v/>
      </c>
      <c r="E6" t="str">
        <f t="shared" si="1"/>
        <v/>
      </c>
      <c r="F6" t="s">
        <v>39</v>
      </c>
      <c r="H6" t="str">
        <f t="shared" si="4"/>
        <v>空</v>
      </c>
      <c r="I6" t="str">
        <f t="shared" si="5"/>
        <v>\u7a7a</v>
      </c>
      <c r="J6" t="s">
        <v>102</v>
      </c>
      <c r="L6" t="str">
        <f t="shared" si="6"/>
        <v>空</v>
      </c>
      <c r="M6" t="str">
        <f t="shared" si="7"/>
        <v>\u7a7a</v>
      </c>
      <c r="N6" t="s">
        <v>102</v>
      </c>
    </row>
    <row r="7" spans="1:14">
      <c r="A7" t="str">
        <f t="shared" si="2"/>
        <v>タ</v>
      </c>
      <c r="B7" t="str">
        <f t="shared" si="3"/>
        <v>\u30bf</v>
      </c>
      <c r="D7" t="str">
        <f t="shared" si="0"/>
        <v/>
      </c>
      <c r="E7" t="str">
        <f t="shared" si="1"/>
        <v/>
      </c>
      <c r="F7" t="s">
        <v>40</v>
      </c>
      <c r="H7" t="str">
        <f t="shared" si="4"/>
        <v>間</v>
      </c>
      <c r="I7" t="str">
        <f t="shared" si="5"/>
        <v>\u9593</v>
      </c>
      <c r="J7" t="s">
        <v>103</v>
      </c>
      <c r="L7" t="str">
        <f t="shared" si="6"/>
        <v>間</v>
      </c>
      <c r="M7" t="str">
        <f t="shared" si="7"/>
        <v>\u9593</v>
      </c>
      <c r="N7" t="s">
        <v>103</v>
      </c>
    </row>
    <row r="8" spans="1:14">
      <c r="A8" t="str">
        <f t="shared" si="2"/>
        <v>_</v>
      </c>
      <c r="B8" t="str">
        <f t="shared" si="3"/>
        <v>_</v>
      </c>
      <c r="D8" t="str">
        <f t="shared" si="0"/>
        <v/>
      </c>
      <c r="E8" t="str">
        <f t="shared" si="1"/>
        <v/>
      </c>
      <c r="F8" t="s">
        <v>41</v>
      </c>
      <c r="H8" t="str">
        <f t="shared" si="4"/>
        <v>情</v>
      </c>
      <c r="I8" t="str">
        <f t="shared" si="5"/>
        <v>\u60c5</v>
      </c>
      <c r="J8" t="s">
        <v>104</v>
      </c>
      <c r="L8" t="str">
        <f t="shared" si="6"/>
        <v>情</v>
      </c>
      <c r="M8" t="str">
        <f t="shared" si="7"/>
        <v>\u60c5</v>
      </c>
      <c r="N8" t="s">
        <v>104</v>
      </c>
    </row>
    <row r="9" spans="1:14">
      <c r="A9" t="str">
        <f t="shared" si="2"/>
        <v>十</v>
      </c>
      <c r="B9" t="str">
        <f t="shared" si="3"/>
        <v>\u5341</v>
      </c>
      <c r="D9" t="str">
        <f t="shared" si="0"/>
        <v/>
      </c>
      <c r="E9" t="str">
        <f t="shared" si="1"/>
        <v/>
      </c>
      <c r="F9" t="s">
        <v>42</v>
      </c>
      <c r="H9" t="str">
        <f t="shared" si="4"/>
        <v>報</v>
      </c>
      <c r="I9" t="str">
        <f t="shared" si="5"/>
        <v>\u5831</v>
      </c>
      <c r="J9" t="s">
        <v>105</v>
      </c>
      <c r="L9" t="str">
        <f t="shared" si="6"/>
        <v>報</v>
      </c>
      <c r="M9" t="str">
        <f t="shared" si="7"/>
        <v>\u5831</v>
      </c>
      <c r="N9" t="s">
        <v>105</v>
      </c>
    </row>
    <row r="10" spans="1:14">
      <c r="A10" t="str">
        <f t="shared" si="2"/>
        <v>勝</v>
      </c>
      <c r="B10" t="str">
        <f t="shared" si="3"/>
        <v>\u52dd</v>
      </c>
      <c r="D10" t="str">
        <f t="shared" si="0"/>
        <v/>
      </c>
      <c r="E10" t="str">
        <f t="shared" si="1"/>
        <v/>
      </c>
      <c r="F10" t="s">
        <v>43</v>
      </c>
      <c r="H10" t="str">
        <f t="shared" si="4"/>
        <v>セ</v>
      </c>
      <c r="I10" t="str">
        <f t="shared" si="5"/>
        <v>\u30bb</v>
      </c>
      <c r="J10" t="s">
        <v>106</v>
      </c>
      <c r="L10" t="str">
        <f t="shared" si="6"/>
        <v>セ</v>
      </c>
      <c r="M10" t="str">
        <f t="shared" si="7"/>
        <v>\u30bb</v>
      </c>
      <c r="N10" t="s">
        <v>106</v>
      </c>
    </row>
    <row r="11" spans="1:14">
      <c r="A11" t="str">
        <f t="shared" si="2"/>
        <v>東</v>
      </c>
      <c r="B11" t="str">
        <f t="shared" si="3"/>
        <v>\u6771</v>
      </c>
      <c r="D11" t="str">
        <f t="shared" si="0"/>
        <v/>
      </c>
      <c r="E11" t="str">
        <f t="shared" si="1"/>
        <v/>
      </c>
      <c r="F11" t="s">
        <v>44</v>
      </c>
      <c r="H11" t="str">
        <f t="shared" si="4"/>
        <v>ン</v>
      </c>
      <c r="I11" t="str">
        <f t="shared" si="5"/>
        <v>\u30f3</v>
      </c>
      <c r="J11" t="s">
        <v>107</v>
      </c>
      <c r="L11" t="str">
        <f t="shared" si="6"/>
        <v>ン</v>
      </c>
      <c r="M11" t="str">
        <f t="shared" si="7"/>
        <v>\u30f3</v>
      </c>
      <c r="N11" t="s">
        <v>107</v>
      </c>
    </row>
    <row r="12" spans="1:14">
      <c r="A12" t="str">
        <f t="shared" si="2"/>
        <v>部</v>
      </c>
      <c r="B12" t="str">
        <f t="shared" si="3"/>
        <v>\u90e8</v>
      </c>
      <c r="D12" t="str">
        <f t="shared" si="0"/>
        <v/>
      </c>
      <c r="E12" t="str">
        <f t="shared" si="1"/>
        <v/>
      </c>
      <c r="F12" t="s">
        <v>45</v>
      </c>
      <c r="H12" t="str">
        <f t="shared" si="4"/>
        <v>タ</v>
      </c>
      <c r="I12" t="str">
        <f t="shared" si="5"/>
        <v>\u30bf</v>
      </c>
      <c r="J12" t="s">
        <v>108</v>
      </c>
      <c r="L12" t="str">
        <f t="shared" si="6"/>
        <v>タ</v>
      </c>
      <c r="M12" t="str">
        <f t="shared" si="7"/>
        <v>\u30bf</v>
      </c>
      <c r="N12" t="s">
        <v>108</v>
      </c>
    </row>
    <row r="13" spans="1:14">
      <c r="A13" t="str">
        <f t="shared" si="2"/>
        <v>署</v>
      </c>
      <c r="B13" t="str">
        <f t="shared" si="3"/>
        <v>\u7f72</v>
      </c>
      <c r="D13" t="str">
        <f t="shared" si="0"/>
        <v/>
      </c>
      <c r="E13" t="str">
        <f t="shared" si="1"/>
        <v/>
      </c>
      <c r="F13" t="s">
        <v>46</v>
      </c>
      <c r="H13" t="str">
        <f t="shared" si="4"/>
        <v>ー</v>
      </c>
      <c r="I13" t="str">
        <f t="shared" si="5"/>
        <v>\u30fc</v>
      </c>
      <c r="J13" t="s">
        <v>109</v>
      </c>
      <c r="L13" t="str">
        <f t="shared" si="6"/>
        <v>ー</v>
      </c>
      <c r="M13" t="str">
        <f t="shared" si="7"/>
        <v>\u30fc</v>
      </c>
      <c r="N13" t="s">
        <v>109</v>
      </c>
    </row>
    <row r="14" spans="1:14">
      <c r="A14" t="str">
        <f t="shared" si="2"/>
        <v>_</v>
      </c>
      <c r="B14" t="str">
        <f t="shared" si="3"/>
        <v>_</v>
      </c>
      <c r="D14" t="str">
        <f t="shared" si="0"/>
        <v/>
      </c>
      <c r="E14" t="str">
        <f t="shared" si="1"/>
        <v/>
      </c>
      <c r="F14" t="s">
        <v>47</v>
      </c>
      <c r="H14" t="str">
        <f t="shared" si="4"/>
        <v>\</v>
      </c>
      <c r="I14" t="str">
        <f t="shared" si="5"/>
        <v>/</v>
      </c>
      <c r="J14" t="s">
        <v>110</v>
      </c>
      <c r="L14" t="str">
        <f t="shared" si="6"/>
        <v>\</v>
      </c>
      <c r="M14" t="str">
        <f t="shared" si="7"/>
        <v>/</v>
      </c>
      <c r="N14" t="s">
        <v>110</v>
      </c>
    </row>
    <row r="15" spans="1:14">
      <c r="A15" t="str">
        <f t="shared" si="2"/>
        <v>R</v>
      </c>
      <c r="B15" t="str">
        <f t="shared" si="3"/>
        <v>R</v>
      </c>
      <c r="D15" t="str">
        <f t="shared" si="0"/>
        <v/>
      </c>
      <c r="E15" t="str">
        <f t="shared" si="1"/>
        <v/>
      </c>
      <c r="F15" t="s">
        <v>48</v>
      </c>
      <c r="H15" t="str">
        <f t="shared" si="4"/>
        <v>4</v>
      </c>
      <c r="I15" t="str">
        <f t="shared" si="5"/>
        <v>4</v>
      </c>
      <c r="J15" t="s">
        <v>111</v>
      </c>
      <c r="L15" t="str">
        <f t="shared" si="6"/>
        <v>4</v>
      </c>
      <c r="M15" t="str">
        <f t="shared" si="7"/>
        <v>4</v>
      </c>
      <c r="N15" t="s">
        <v>111</v>
      </c>
    </row>
    <row r="16" spans="1:14">
      <c r="A16" t="str">
        <f t="shared" si="2"/>
        <v>4</v>
      </c>
      <c r="B16" t="str">
        <f t="shared" si="3"/>
        <v>4</v>
      </c>
      <c r="D16" t="str">
        <f t="shared" si="0"/>
        <v/>
      </c>
      <c r="E16" t="str">
        <f t="shared" si="1"/>
        <v/>
      </c>
      <c r="F16" t="s">
        <v>49</v>
      </c>
      <c r="H16" t="str">
        <f t="shared" si="4"/>
        <v>7</v>
      </c>
      <c r="I16" t="str">
        <f t="shared" si="5"/>
        <v>7</v>
      </c>
      <c r="J16" t="s">
        <v>112</v>
      </c>
      <c r="L16" t="str">
        <f t="shared" si="6"/>
        <v>7</v>
      </c>
      <c r="M16" t="str">
        <f t="shared" si="7"/>
        <v>7</v>
      </c>
      <c r="N16" t="s">
        <v>112</v>
      </c>
    </row>
    <row r="17" spans="1:14">
      <c r="A17" t="str">
        <f t="shared" si="2"/>
        <v/>
      </c>
      <c r="B17" t="str">
        <f t="shared" si="3"/>
        <v/>
      </c>
      <c r="D17" t="str">
        <f t="shared" si="0"/>
        <v/>
      </c>
      <c r="E17" t="str">
        <f t="shared" si="1"/>
        <v/>
      </c>
      <c r="F17" t="s">
        <v>50</v>
      </c>
      <c r="H17" t="str">
        <f t="shared" si="4"/>
        <v>沖</v>
      </c>
      <c r="I17" t="str">
        <f t="shared" si="5"/>
        <v>\u6c96</v>
      </c>
      <c r="J17" t="s">
        <v>113</v>
      </c>
      <c r="L17" t="str">
        <f t="shared" si="6"/>
        <v>沖</v>
      </c>
      <c r="M17" t="str">
        <f t="shared" si="7"/>
        <v>\u6c96</v>
      </c>
      <c r="N17" t="s">
        <v>113</v>
      </c>
    </row>
    <row r="18" spans="1:14">
      <c r="A18" t="str">
        <f t="shared" si="2"/>
        <v/>
      </c>
      <c r="B18" t="str">
        <f t="shared" si="3"/>
        <v/>
      </c>
      <c r="D18" t="str">
        <f t="shared" si="0"/>
        <v/>
      </c>
      <c r="E18" t="str">
        <f t="shared" si="1"/>
        <v/>
      </c>
      <c r="F18" t="s">
        <v>51</v>
      </c>
      <c r="H18" t="str">
        <f t="shared" si="4"/>
        <v>縄</v>
      </c>
      <c r="I18" t="str">
        <f t="shared" si="5"/>
        <v>\u7e04</v>
      </c>
      <c r="J18" t="s">
        <v>114</v>
      </c>
      <c r="L18" t="str">
        <f t="shared" si="6"/>
        <v>縄</v>
      </c>
      <c r="M18" t="str">
        <f t="shared" si="7"/>
        <v>\u7e04</v>
      </c>
      <c r="N18" t="s">
        <v>114</v>
      </c>
    </row>
    <row r="19" spans="1:14">
      <c r="A19" t="str">
        <f t="shared" si="2"/>
        <v/>
      </c>
      <c r="B19" t="str">
        <f t="shared" si="3"/>
        <v/>
      </c>
      <c r="D19" t="str">
        <f t="shared" si="0"/>
        <v/>
      </c>
      <c r="E19" t="str">
        <f t="shared" si="1"/>
        <v/>
      </c>
      <c r="F19" t="s">
        <v>52</v>
      </c>
      <c r="H19" t="str">
        <f t="shared" si="4"/>
        <v>県</v>
      </c>
      <c r="I19" t="str">
        <f t="shared" si="5"/>
        <v>\u770c</v>
      </c>
      <c r="J19" t="s">
        <v>115</v>
      </c>
      <c r="L19" t="str">
        <f t="shared" si="6"/>
        <v>県</v>
      </c>
      <c r="M19" t="str">
        <f t="shared" si="7"/>
        <v>\u770c</v>
      </c>
      <c r="N19" t="s">
        <v>115</v>
      </c>
    </row>
    <row r="20" spans="1:14">
      <c r="A20" t="str">
        <f t="shared" si="2"/>
        <v/>
      </c>
      <c r="B20" t="str">
        <f t="shared" si="3"/>
        <v/>
      </c>
      <c r="D20" t="str">
        <f t="shared" si="0"/>
        <v/>
      </c>
      <c r="E20" t="str">
        <f t="shared" si="1"/>
        <v/>
      </c>
      <c r="F20" t="s">
        <v>53</v>
      </c>
      <c r="H20" t="str">
        <f t="shared" si="4"/>
        <v>\</v>
      </c>
      <c r="I20" t="str">
        <f t="shared" si="5"/>
        <v>/</v>
      </c>
      <c r="J20" t="s">
        <v>116</v>
      </c>
      <c r="L20" t="str">
        <f t="shared" si="6"/>
        <v>\</v>
      </c>
      <c r="M20" t="str">
        <f t="shared" si="7"/>
        <v>/</v>
      </c>
      <c r="N20" t="s">
        <v>116</v>
      </c>
    </row>
    <row r="21" spans="1:14">
      <c r="A21" t="str">
        <f t="shared" si="2"/>
        <v/>
      </c>
      <c r="B21" t="str">
        <f t="shared" si="3"/>
        <v/>
      </c>
      <c r="D21" t="str">
        <f t="shared" si="0"/>
        <v/>
      </c>
      <c r="E21" t="str">
        <f t="shared" si="1"/>
        <v/>
      </c>
      <c r="F21" t="s">
        <v>54</v>
      </c>
      <c r="H21" t="str">
        <f t="shared" si="4"/>
        <v>1</v>
      </c>
      <c r="I21" t="str">
        <f t="shared" si="5"/>
        <v>1</v>
      </c>
      <c r="J21" t="s">
        <v>117</v>
      </c>
      <c r="L21" t="str">
        <f t="shared" si="6"/>
        <v>1</v>
      </c>
      <c r="M21" t="str">
        <f t="shared" si="7"/>
        <v>1</v>
      </c>
      <c r="N21" t="s">
        <v>117</v>
      </c>
    </row>
    <row r="22" spans="1:14">
      <c r="A22" t="str">
        <f t="shared" si="2"/>
        <v/>
      </c>
      <c r="B22" t="str">
        <f t="shared" si="3"/>
        <v/>
      </c>
      <c r="D22" t="str">
        <f t="shared" si="0"/>
        <v/>
      </c>
      <c r="E22" t="str">
        <f t="shared" si="1"/>
        <v/>
      </c>
      <c r="F22" t="s">
        <v>55</v>
      </c>
      <c r="H22" t="str">
        <f t="shared" si="4"/>
        <v>5</v>
      </c>
      <c r="I22" t="str">
        <f t="shared" si="5"/>
        <v>5</v>
      </c>
      <c r="J22" t="s">
        <v>118</v>
      </c>
      <c r="L22" t="str">
        <f t="shared" si="6"/>
        <v>5</v>
      </c>
      <c r="M22" t="str">
        <f t="shared" si="7"/>
        <v>5</v>
      </c>
      <c r="N22" t="s">
        <v>118</v>
      </c>
    </row>
    <row r="23" spans="1:14">
      <c r="A23" t="str">
        <f t="shared" si="2"/>
        <v/>
      </c>
      <c r="B23" t="str">
        <f t="shared" si="3"/>
        <v/>
      </c>
      <c r="D23" t="str">
        <f t="shared" si="0"/>
        <v/>
      </c>
      <c r="E23" t="str">
        <f t="shared" si="1"/>
        <v/>
      </c>
      <c r="F23" t="s">
        <v>56</v>
      </c>
      <c r="H23" t="str">
        <f t="shared" si="4"/>
        <v>8</v>
      </c>
      <c r="I23" t="str">
        <f t="shared" si="5"/>
        <v>8</v>
      </c>
      <c r="J23" t="s">
        <v>119</v>
      </c>
      <c r="L23" t="str">
        <f t="shared" si="6"/>
        <v>8</v>
      </c>
      <c r="M23" t="str">
        <f t="shared" si="7"/>
        <v>8</v>
      </c>
      <c r="N23" t="s">
        <v>119</v>
      </c>
    </row>
    <row r="24" spans="1:14">
      <c r="A24" t="str">
        <f t="shared" si="2"/>
        <v/>
      </c>
      <c r="B24" t="str">
        <f t="shared" si="3"/>
        <v/>
      </c>
      <c r="D24" t="str">
        <f t="shared" si="0"/>
        <v/>
      </c>
      <c r="E24" t="str">
        <f t="shared" si="1"/>
        <v/>
      </c>
      <c r="F24" t="s">
        <v>57</v>
      </c>
      <c r="H24" t="str">
        <f t="shared" si="4"/>
        <v>宮</v>
      </c>
      <c r="I24" t="str">
        <f t="shared" si="5"/>
        <v>\u5bae</v>
      </c>
      <c r="J24" t="s">
        <v>120</v>
      </c>
      <c r="L24" t="str">
        <f t="shared" si="6"/>
        <v>宮</v>
      </c>
      <c r="M24" t="str">
        <f t="shared" si="7"/>
        <v>\u5bae</v>
      </c>
      <c r="N24" t="s">
        <v>120</v>
      </c>
    </row>
    <row r="25" spans="1:14">
      <c r="A25" t="str">
        <f t="shared" si="2"/>
        <v/>
      </c>
      <c r="B25" t="str">
        <f t="shared" si="3"/>
        <v/>
      </c>
      <c r="D25" t="str">
        <f t="shared" si="0"/>
        <v/>
      </c>
      <c r="E25" t="str">
        <f t="shared" si="1"/>
        <v/>
      </c>
      <c r="F25" t="s">
        <v>58</v>
      </c>
      <c r="H25" t="str">
        <f t="shared" si="4"/>
        <v>古</v>
      </c>
      <c r="I25" t="str">
        <f t="shared" si="5"/>
        <v>\u53e4</v>
      </c>
      <c r="J25" t="s">
        <v>121</v>
      </c>
      <c r="L25" t="str">
        <f t="shared" si="6"/>
        <v>古</v>
      </c>
      <c r="M25" t="str">
        <f t="shared" si="7"/>
        <v>\u53e4</v>
      </c>
      <c r="N25" t="s">
        <v>121</v>
      </c>
    </row>
    <row r="26" spans="1:14">
      <c r="A26" t="str">
        <f t="shared" si="2"/>
        <v/>
      </c>
      <c r="B26" t="str">
        <f t="shared" si="3"/>
        <v/>
      </c>
      <c r="D26" t="str">
        <f t="shared" si="0"/>
        <v/>
      </c>
      <c r="E26" t="str">
        <f t="shared" si="1"/>
        <v/>
      </c>
      <c r="F26" t="s">
        <v>59</v>
      </c>
      <c r="H26" t="str">
        <f t="shared" si="4"/>
        <v>八</v>
      </c>
      <c r="I26" t="str">
        <f t="shared" si="5"/>
        <v>\u516b</v>
      </c>
      <c r="J26" t="s">
        <v>122</v>
      </c>
      <c r="L26" t="str">
        <f t="shared" si="6"/>
        <v>八</v>
      </c>
      <c r="M26" t="str">
        <f t="shared" si="7"/>
        <v>\u516b</v>
      </c>
      <c r="N26" t="s">
        <v>122</v>
      </c>
    </row>
    <row r="27" spans="1:14">
      <c r="A27" t="str">
        <f t="shared" si="2"/>
        <v/>
      </c>
      <c r="B27" t="str">
        <f t="shared" si="3"/>
        <v/>
      </c>
      <c r="D27" t="str">
        <f t="shared" si="0"/>
        <v/>
      </c>
      <c r="E27" t="str">
        <f t="shared" si="1"/>
        <v/>
      </c>
      <c r="F27" t="s">
        <v>60</v>
      </c>
      <c r="H27" t="str">
        <f t="shared" si="4"/>
        <v>重</v>
      </c>
      <c r="I27" t="str">
        <f t="shared" si="5"/>
        <v>\u91cd</v>
      </c>
      <c r="J27" t="s">
        <v>123</v>
      </c>
      <c r="L27" t="str">
        <f t="shared" si="6"/>
        <v>重</v>
      </c>
      <c r="M27" t="str">
        <f t="shared" si="7"/>
        <v>\u91cd</v>
      </c>
      <c r="N27" t="s">
        <v>123</v>
      </c>
    </row>
    <row r="28" spans="1:14">
      <c r="A28" t="str">
        <f t="shared" si="2"/>
        <v/>
      </c>
      <c r="B28" t="str">
        <f t="shared" si="3"/>
        <v/>
      </c>
      <c r="D28" t="str">
        <f t="shared" si="0"/>
        <v/>
      </c>
      <c r="E28" t="str">
        <f t="shared" si="1"/>
        <v/>
      </c>
      <c r="F28" t="s">
        <v>61</v>
      </c>
      <c r="H28" t="str">
        <f t="shared" si="4"/>
        <v>山</v>
      </c>
      <c r="I28" t="str">
        <f t="shared" si="5"/>
        <v>\u5c71</v>
      </c>
      <c r="J28" t="s">
        <v>124</v>
      </c>
      <c r="L28" t="str">
        <f t="shared" si="6"/>
        <v>山</v>
      </c>
      <c r="M28" t="str">
        <f t="shared" si="7"/>
        <v>\u5c71</v>
      </c>
      <c r="N28" t="s">
        <v>124</v>
      </c>
    </row>
    <row r="29" spans="1:14">
      <c r="A29" t="str">
        <f t="shared" si="2"/>
        <v/>
      </c>
      <c r="B29" t="str">
        <f t="shared" si="3"/>
        <v/>
      </c>
      <c r="D29" t="str">
        <f t="shared" si="0"/>
        <v/>
      </c>
      <c r="E29" t="str">
        <f t="shared" si="1"/>
        <v/>
      </c>
      <c r="F29" t="s">
        <v>62</v>
      </c>
      <c r="H29" t="str">
        <f t="shared" si="4"/>
        <v>森</v>
      </c>
      <c r="I29" t="str">
        <f t="shared" si="5"/>
        <v>\u68ee</v>
      </c>
      <c r="J29" t="s">
        <v>125</v>
      </c>
      <c r="L29" t="str">
        <f t="shared" si="6"/>
        <v>森</v>
      </c>
      <c r="M29" t="str">
        <f t="shared" si="7"/>
        <v>\u68ee</v>
      </c>
      <c r="N29" t="s">
        <v>125</v>
      </c>
    </row>
    <row r="30" spans="1:14">
      <c r="A30" t="str">
        <f t="shared" si="2"/>
        <v/>
      </c>
      <c r="B30" t="str">
        <f t="shared" si="3"/>
        <v/>
      </c>
      <c r="D30" t="str">
        <f t="shared" si="0"/>
        <v/>
      </c>
      <c r="E30" t="str">
        <f t="shared" si="1"/>
        <v/>
      </c>
      <c r="F30" t="s">
        <v>63</v>
      </c>
      <c r="H30" t="str">
        <f t="shared" si="4"/>
        <v>林</v>
      </c>
      <c r="I30" t="str">
        <f t="shared" si="5"/>
        <v>\u6797</v>
      </c>
      <c r="J30" t="s">
        <v>126</v>
      </c>
      <c r="L30" t="str">
        <f t="shared" si="6"/>
        <v>林</v>
      </c>
      <c r="M30" t="str">
        <f t="shared" si="7"/>
        <v>\u6797</v>
      </c>
      <c r="N30" t="s">
        <v>126</v>
      </c>
    </row>
    <row r="31" spans="1:14">
      <c r="A31" t="str">
        <f t="shared" si="2"/>
        <v/>
      </c>
      <c r="B31" t="str">
        <f t="shared" si="3"/>
        <v/>
      </c>
      <c r="D31" t="str">
        <f t="shared" si="0"/>
        <v/>
      </c>
      <c r="E31" t="str">
        <f t="shared" si="1"/>
        <v/>
      </c>
      <c r="F31" t="s">
        <v>64</v>
      </c>
      <c r="H31" t="str">
        <f t="shared" si="4"/>
        <v>計</v>
      </c>
      <c r="I31" t="str">
        <f t="shared" si="5"/>
        <v>\u8a08</v>
      </c>
      <c r="J31" t="s">
        <v>127</v>
      </c>
      <c r="L31" t="str">
        <f t="shared" si="6"/>
        <v>計</v>
      </c>
      <c r="M31" t="str">
        <f t="shared" si="7"/>
        <v>\u8a08</v>
      </c>
      <c r="N31" t="s">
        <v>127</v>
      </c>
    </row>
    <row r="32" spans="1:14">
      <c r="A32" t="str">
        <f t="shared" si="2"/>
        <v/>
      </c>
      <c r="B32" t="str">
        <f t="shared" si="3"/>
        <v/>
      </c>
      <c r="D32" t="str">
        <f t="shared" si="0"/>
        <v/>
      </c>
      <c r="E32" t="str">
        <f t="shared" si="1"/>
        <v/>
      </c>
      <c r="F32" t="s">
        <v>65</v>
      </c>
      <c r="H32" t="str">
        <f t="shared" si="4"/>
        <v>画</v>
      </c>
      <c r="I32" t="str">
        <f t="shared" si="5"/>
        <v>\u753b</v>
      </c>
      <c r="J32" t="s">
        <v>128</v>
      </c>
      <c r="L32" t="str">
        <f t="shared" si="6"/>
        <v>画</v>
      </c>
      <c r="M32" t="str">
        <f t="shared" si="7"/>
        <v>\u753b</v>
      </c>
      <c r="N32" t="s">
        <v>128</v>
      </c>
    </row>
    <row r="33" spans="1:14">
      <c r="A33" t="str">
        <f t="shared" si="2"/>
        <v/>
      </c>
      <c r="B33" t="str">
        <f t="shared" si="3"/>
        <v/>
      </c>
      <c r="D33" t="str">
        <f t="shared" si="0"/>
        <v/>
      </c>
      <c r="E33" t="str">
        <f t="shared" si="1"/>
        <v/>
      </c>
      <c r="F33" t="s">
        <v>66</v>
      </c>
      <c r="H33" t="str">
        <f t="shared" si="4"/>
        <v>区</v>
      </c>
      <c r="I33" t="str">
        <f t="shared" si="5"/>
        <v>\u533a</v>
      </c>
      <c r="J33" t="s">
        <v>129</v>
      </c>
      <c r="L33" t="str">
        <f t="shared" si="6"/>
        <v>区</v>
      </c>
      <c r="M33" t="str">
        <f t="shared" si="7"/>
        <v>\u533a</v>
      </c>
      <c r="N33" t="s">
        <v>129</v>
      </c>
    </row>
    <row r="34" spans="1:14">
      <c r="A34" t="str">
        <f t="shared" si="2"/>
        <v/>
      </c>
      <c r="B34" t="str">
        <f t="shared" si="3"/>
        <v/>
      </c>
      <c r="D34" t="str">
        <f t="shared" si="0"/>
        <v/>
      </c>
      <c r="E34" t="str">
        <f t="shared" si="1"/>
        <v/>
      </c>
      <c r="F34" t="s">
        <v>67</v>
      </c>
      <c r="H34" t="str">
        <f t="shared" si="4"/>
        <v>\</v>
      </c>
      <c r="I34" t="str">
        <f t="shared" si="5"/>
        <v>/</v>
      </c>
      <c r="J34" t="s">
        <v>130</v>
      </c>
      <c r="L34" t="str">
        <f t="shared" si="6"/>
        <v>T</v>
      </c>
      <c r="M34" t="str">
        <f t="shared" si="7"/>
        <v>T</v>
      </c>
      <c r="N34" t="s">
        <v>130</v>
      </c>
    </row>
    <row r="35" spans="1:14">
      <c r="A35" t="str">
        <f t="shared" ref="A35:A64" si="8">MID(変換元ファイル名,ROW()-1,1)</f>
        <v/>
      </c>
      <c r="B35" t="str">
        <f t="shared" si="3"/>
        <v/>
      </c>
      <c r="D35" t="str">
        <f t="shared" ref="D35:D64" si="9">MID(出力ファイル名,ROW()-1,1)</f>
        <v/>
      </c>
      <c r="E35" t="str">
        <f t="shared" si="1"/>
        <v/>
      </c>
      <c r="F35" t="s">
        <v>68</v>
      </c>
      <c r="H35" t="str">
        <f t="shared" si="4"/>
        <v>第</v>
      </c>
      <c r="I35" t="str">
        <f t="shared" si="5"/>
        <v>\u7b2c</v>
      </c>
      <c r="J35" t="s">
        <v>131</v>
      </c>
      <c r="L35" t="str">
        <f t="shared" si="6"/>
        <v>K</v>
      </c>
      <c r="M35" t="str">
        <f t="shared" si="7"/>
        <v>K</v>
      </c>
      <c r="N35" t="s">
        <v>131</v>
      </c>
    </row>
    <row r="36" spans="1:14">
      <c r="A36" t="str">
        <f t="shared" si="8"/>
        <v/>
      </c>
      <c r="B36" t="str">
        <f t="shared" si="3"/>
        <v/>
      </c>
      <c r="D36" t="str">
        <f t="shared" si="9"/>
        <v/>
      </c>
      <c r="E36" t="str">
        <f t="shared" si="1"/>
        <v/>
      </c>
      <c r="F36" t="s">
        <v>69</v>
      </c>
      <c r="H36" t="str">
        <f t="shared" si="4"/>
        <v>1</v>
      </c>
      <c r="I36" t="str">
        <f t="shared" si="5"/>
        <v>1</v>
      </c>
      <c r="J36" t="s">
        <v>132</v>
      </c>
      <c r="L36" t="str">
        <f t="shared" si="6"/>
        <v>Y</v>
      </c>
      <c r="M36" t="str">
        <f t="shared" si="7"/>
        <v>Y</v>
      </c>
      <c r="N36" t="s">
        <v>132</v>
      </c>
    </row>
    <row r="37" spans="1:14">
      <c r="A37" t="str">
        <f t="shared" si="8"/>
        <v/>
      </c>
      <c r="B37" t="str">
        <f t="shared" si="3"/>
        <v/>
      </c>
      <c r="D37" t="str">
        <f t="shared" si="9"/>
        <v/>
      </c>
      <c r="E37" t="str">
        <f t="shared" si="1"/>
        <v/>
      </c>
      <c r="F37" t="s">
        <v>70</v>
      </c>
      <c r="H37" t="str">
        <f t="shared" si="4"/>
        <v>6</v>
      </c>
      <c r="I37" t="str">
        <f t="shared" si="5"/>
        <v>6</v>
      </c>
      <c r="J37" t="s">
        <v>133</v>
      </c>
      <c r="L37" t="str">
        <f t="shared" si="6"/>
        <v>2</v>
      </c>
      <c r="M37" t="str">
        <f t="shared" si="7"/>
        <v>2</v>
      </c>
      <c r="N37" t="s">
        <v>133</v>
      </c>
    </row>
    <row r="38" spans="1:14">
      <c r="A38" t="str">
        <f t="shared" si="8"/>
        <v/>
      </c>
      <c r="B38" t="str">
        <f t="shared" si="3"/>
        <v/>
      </c>
      <c r="D38" t="str">
        <f t="shared" si="9"/>
        <v/>
      </c>
      <c r="E38" t="str">
        <f t="shared" si="1"/>
        <v/>
      </c>
      <c r="F38" t="s">
        <v>71</v>
      </c>
      <c r="H38" t="str">
        <f t="shared" si="4"/>
        <v>系</v>
      </c>
      <c r="I38" t="str">
        <f t="shared" si="5"/>
        <v>\u7cfb</v>
      </c>
      <c r="J38" t="s">
        <v>134</v>
      </c>
      <c r="L38" t="str">
        <f t="shared" si="6"/>
        <v>J</v>
      </c>
      <c r="M38" t="str">
        <f t="shared" si="7"/>
        <v>J</v>
      </c>
      <c r="N38" t="s">
        <v>134</v>
      </c>
    </row>
    <row r="39" spans="1:14">
      <c r="A39" t="str">
        <f t="shared" si="8"/>
        <v/>
      </c>
      <c r="B39" t="str">
        <f t="shared" si="3"/>
        <v/>
      </c>
      <c r="D39" t="str">
        <f t="shared" si="9"/>
        <v/>
      </c>
      <c r="E39" t="str">
        <f t="shared" si="1"/>
        <v/>
      </c>
      <c r="F39" t="s">
        <v>72</v>
      </c>
      <c r="H39" t="str">
        <f t="shared" si="4"/>
        <v/>
      </c>
      <c r="I39" t="str">
        <f t="shared" si="5"/>
        <v/>
      </c>
      <c r="J39" t="s">
        <v>135</v>
      </c>
      <c r="L39" t="str">
        <f t="shared" si="6"/>
        <v>G</v>
      </c>
      <c r="M39" t="str">
        <f t="shared" si="7"/>
        <v>G</v>
      </c>
      <c r="N39" t="s">
        <v>135</v>
      </c>
    </row>
    <row r="40" spans="1:14">
      <c r="A40" t="str">
        <f t="shared" si="8"/>
        <v/>
      </c>
      <c r="B40" t="str">
        <f t="shared" si="3"/>
        <v/>
      </c>
      <c r="D40" t="str">
        <f t="shared" si="9"/>
        <v/>
      </c>
      <c r="E40" t="str">
        <f t="shared" si="1"/>
        <v/>
      </c>
      <c r="F40" t="s">
        <v>73</v>
      </c>
      <c r="H40" t="str">
        <f t="shared" si="4"/>
        <v/>
      </c>
      <c r="I40" t="str">
        <f t="shared" si="5"/>
        <v/>
      </c>
      <c r="J40" t="s">
        <v>136</v>
      </c>
      <c r="L40" t="str">
        <f t="shared" si="6"/>
        <v>D</v>
      </c>
      <c r="M40" t="str">
        <f t="shared" si="7"/>
        <v>D</v>
      </c>
      <c r="N40" t="s">
        <v>136</v>
      </c>
    </row>
    <row r="41" spans="1:14">
      <c r="A41" t="str">
        <f t="shared" si="8"/>
        <v/>
      </c>
      <c r="B41" t="str">
        <f t="shared" si="3"/>
        <v/>
      </c>
      <c r="D41" t="str">
        <f t="shared" si="9"/>
        <v/>
      </c>
      <c r="E41" t="str">
        <f t="shared" si="1"/>
        <v/>
      </c>
      <c r="F41" t="s">
        <v>74</v>
      </c>
      <c r="H41" t="str">
        <f t="shared" si="4"/>
        <v/>
      </c>
      <c r="I41" t="str">
        <f t="shared" si="5"/>
        <v/>
      </c>
      <c r="J41" t="s">
        <v>137</v>
      </c>
      <c r="L41" t="str">
        <f t="shared" si="6"/>
        <v>\</v>
      </c>
      <c r="M41" t="str">
        <f t="shared" si="7"/>
        <v>/</v>
      </c>
      <c r="N41" t="s">
        <v>137</v>
      </c>
    </row>
    <row r="42" spans="1:14">
      <c r="A42" t="str">
        <f t="shared" si="8"/>
        <v/>
      </c>
      <c r="B42" t="str">
        <f t="shared" si="3"/>
        <v/>
      </c>
      <c r="D42" t="str">
        <f t="shared" si="9"/>
        <v/>
      </c>
      <c r="E42" t="str">
        <f t="shared" si="1"/>
        <v/>
      </c>
      <c r="F42" t="s">
        <v>75</v>
      </c>
      <c r="H42" t="str">
        <f t="shared" si="4"/>
        <v/>
      </c>
      <c r="I42" t="str">
        <f t="shared" si="5"/>
        <v/>
      </c>
      <c r="J42" t="s">
        <v>138</v>
      </c>
      <c r="L42" t="str">
        <f t="shared" si="6"/>
        <v>第</v>
      </c>
      <c r="M42" t="str">
        <f t="shared" si="7"/>
        <v>\u7b2c</v>
      </c>
      <c r="N42" t="s">
        <v>138</v>
      </c>
    </row>
    <row r="43" spans="1:14">
      <c r="A43" t="str">
        <f t="shared" si="8"/>
        <v/>
      </c>
      <c r="B43" t="str">
        <f t="shared" si="3"/>
        <v/>
      </c>
      <c r="D43" t="str">
        <f t="shared" si="9"/>
        <v/>
      </c>
      <c r="E43" t="str">
        <f t="shared" si="1"/>
        <v/>
      </c>
      <c r="F43" t="s">
        <v>76</v>
      </c>
      <c r="H43" t="str">
        <f t="shared" si="4"/>
        <v/>
      </c>
      <c r="I43" t="str">
        <f t="shared" si="5"/>
        <v/>
      </c>
      <c r="J43" t="s">
        <v>139</v>
      </c>
      <c r="L43" t="str">
        <f t="shared" si="6"/>
        <v>1</v>
      </c>
      <c r="M43" t="str">
        <f t="shared" si="7"/>
        <v>1</v>
      </c>
      <c r="N43" t="s">
        <v>139</v>
      </c>
    </row>
    <row r="44" spans="1:14">
      <c r="A44" t="str">
        <f t="shared" si="8"/>
        <v/>
      </c>
      <c r="B44" t="str">
        <f t="shared" si="3"/>
        <v/>
      </c>
      <c r="D44" t="str">
        <f t="shared" si="9"/>
        <v/>
      </c>
      <c r="E44" t="str">
        <f t="shared" si="1"/>
        <v/>
      </c>
      <c r="F44" t="s">
        <v>77</v>
      </c>
      <c r="H44" t="str">
        <f t="shared" si="4"/>
        <v/>
      </c>
      <c r="I44" t="str">
        <f t="shared" si="5"/>
        <v/>
      </c>
      <c r="J44" t="s">
        <v>140</v>
      </c>
      <c r="L44" t="str">
        <f t="shared" si="6"/>
        <v>6</v>
      </c>
      <c r="M44" t="str">
        <f t="shared" si="7"/>
        <v>6</v>
      </c>
      <c r="N44" t="s">
        <v>140</v>
      </c>
    </row>
    <row r="45" spans="1:14">
      <c r="A45" t="str">
        <f t="shared" si="8"/>
        <v/>
      </c>
      <c r="B45" t="str">
        <f t="shared" si="3"/>
        <v/>
      </c>
      <c r="D45" t="str">
        <f t="shared" si="9"/>
        <v/>
      </c>
      <c r="E45" t="str">
        <f t="shared" si="1"/>
        <v/>
      </c>
      <c r="F45" t="s">
        <v>78</v>
      </c>
      <c r="H45" t="str">
        <f t="shared" si="4"/>
        <v/>
      </c>
      <c r="I45" t="str">
        <f t="shared" si="5"/>
        <v/>
      </c>
      <c r="J45" t="s">
        <v>141</v>
      </c>
      <c r="L45" t="str">
        <f t="shared" si="6"/>
        <v>系</v>
      </c>
      <c r="M45" t="str">
        <f t="shared" si="7"/>
        <v>\u7cfb</v>
      </c>
      <c r="N45" t="s">
        <v>141</v>
      </c>
    </row>
    <row r="46" spans="1:14">
      <c r="A46" t="str">
        <f t="shared" si="8"/>
        <v/>
      </c>
      <c r="B46" t="str">
        <f t="shared" si="3"/>
        <v/>
      </c>
      <c r="D46" t="str">
        <f t="shared" si="9"/>
        <v/>
      </c>
      <c r="E46" t="str">
        <f t="shared" si="1"/>
        <v/>
      </c>
      <c r="F46" t="s">
        <v>79</v>
      </c>
      <c r="H46" t="str">
        <f t="shared" si="4"/>
        <v/>
      </c>
      <c r="I46" t="str">
        <f t="shared" si="5"/>
        <v/>
      </c>
      <c r="J46" t="s">
        <v>142</v>
      </c>
      <c r="L46" t="str">
        <f t="shared" si="6"/>
        <v/>
      </c>
      <c r="M46" t="str">
        <f t="shared" si="7"/>
        <v/>
      </c>
      <c r="N46" t="s">
        <v>142</v>
      </c>
    </row>
    <row r="47" spans="1:14">
      <c r="A47" t="str">
        <f t="shared" si="8"/>
        <v/>
      </c>
      <c r="B47" t="str">
        <f t="shared" si="3"/>
        <v/>
      </c>
      <c r="D47" t="str">
        <f t="shared" si="9"/>
        <v/>
      </c>
      <c r="E47" t="str">
        <f t="shared" si="1"/>
        <v/>
      </c>
      <c r="F47" t="s">
        <v>80</v>
      </c>
      <c r="H47" t="str">
        <f t="shared" si="4"/>
        <v/>
      </c>
      <c r="I47" t="str">
        <f t="shared" si="5"/>
        <v/>
      </c>
      <c r="J47" t="s">
        <v>143</v>
      </c>
      <c r="L47" t="str">
        <f t="shared" si="6"/>
        <v/>
      </c>
      <c r="M47" t="str">
        <f t="shared" si="7"/>
        <v/>
      </c>
      <c r="N47" t="s">
        <v>143</v>
      </c>
    </row>
    <row r="48" spans="1:14">
      <c r="A48" t="str">
        <f t="shared" si="8"/>
        <v/>
      </c>
      <c r="B48" t="str">
        <f t="shared" si="3"/>
        <v/>
      </c>
      <c r="D48" t="str">
        <f t="shared" si="9"/>
        <v/>
      </c>
      <c r="E48" t="str">
        <f t="shared" si="1"/>
        <v/>
      </c>
      <c r="F48" t="s">
        <v>81</v>
      </c>
      <c r="H48" t="str">
        <f t="shared" si="4"/>
        <v/>
      </c>
      <c r="I48" t="str">
        <f t="shared" si="5"/>
        <v/>
      </c>
      <c r="J48" t="s">
        <v>144</v>
      </c>
      <c r="L48" t="str">
        <f t="shared" si="6"/>
        <v/>
      </c>
      <c r="M48" t="str">
        <f t="shared" si="7"/>
        <v/>
      </c>
      <c r="N48" t="s">
        <v>144</v>
      </c>
    </row>
    <row r="49" spans="1:14">
      <c r="A49" t="str">
        <f t="shared" si="8"/>
        <v/>
      </c>
      <c r="B49" t="str">
        <f t="shared" si="3"/>
        <v/>
      </c>
      <c r="D49" t="str">
        <f t="shared" si="9"/>
        <v/>
      </c>
      <c r="E49" t="str">
        <f t="shared" si="1"/>
        <v/>
      </c>
      <c r="F49" t="s">
        <v>82</v>
      </c>
      <c r="H49" t="str">
        <f t="shared" si="4"/>
        <v/>
      </c>
      <c r="I49" t="str">
        <f t="shared" si="5"/>
        <v/>
      </c>
      <c r="J49" t="s">
        <v>145</v>
      </c>
      <c r="L49" t="str">
        <f t="shared" si="6"/>
        <v/>
      </c>
      <c r="M49" t="str">
        <f t="shared" si="7"/>
        <v/>
      </c>
      <c r="N49" t="s">
        <v>145</v>
      </c>
    </row>
    <row r="50" spans="1:14">
      <c r="A50" t="str">
        <f t="shared" si="8"/>
        <v/>
      </c>
      <c r="B50" t="str">
        <f t="shared" si="3"/>
        <v/>
      </c>
      <c r="D50" t="str">
        <f t="shared" si="9"/>
        <v/>
      </c>
      <c r="E50" t="str">
        <f t="shared" si="1"/>
        <v/>
      </c>
      <c r="F50" t="s">
        <v>83</v>
      </c>
      <c r="H50" t="str">
        <f t="shared" si="4"/>
        <v/>
      </c>
      <c r="I50" t="str">
        <f t="shared" si="5"/>
        <v/>
      </c>
      <c r="J50" t="s">
        <v>146</v>
      </c>
      <c r="L50" t="str">
        <f t="shared" si="6"/>
        <v/>
      </c>
      <c r="M50" t="str">
        <f t="shared" si="7"/>
        <v/>
      </c>
      <c r="N50" t="s">
        <v>146</v>
      </c>
    </row>
    <row r="51" spans="1:14">
      <c r="A51" t="str">
        <f t="shared" si="8"/>
        <v/>
      </c>
      <c r="B51" t="str">
        <f t="shared" si="3"/>
        <v/>
      </c>
      <c r="D51" t="str">
        <f t="shared" si="9"/>
        <v/>
      </c>
      <c r="E51" t="str">
        <f t="shared" si="1"/>
        <v/>
      </c>
      <c r="F51" t="s">
        <v>84</v>
      </c>
      <c r="H51" t="str">
        <f t="shared" si="4"/>
        <v/>
      </c>
      <c r="I51" t="str">
        <f t="shared" si="5"/>
        <v/>
      </c>
      <c r="J51" t="s">
        <v>147</v>
      </c>
      <c r="L51" t="str">
        <f t="shared" si="6"/>
        <v/>
      </c>
      <c r="M51" t="str">
        <f t="shared" si="7"/>
        <v/>
      </c>
      <c r="N51" t="s">
        <v>147</v>
      </c>
    </row>
    <row r="52" spans="1:14">
      <c r="A52" t="str">
        <f t="shared" si="8"/>
        <v/>
      </c>
      <c r="B52" t="str">
        <f t="shared" si="3"/>
        <v/>
      </c>
      <c r="D52" t="str">
        <f t="shared" si="9"/>
        <v/>
      </c>
      <c r="E52" t="str">
        <f t="shared" si="1"/>
        <v/>
      </c>
      <c r="F52" t="s">
        <v>85</v>
      </c>
      <c r="H52" t="str">
        <f t="shared" si="4"/>
        <v/>
      </c>
      <c r="I52" t="str">
        <f t="shared" si="5"/>
        <v/>
      </c>
      <c r="J52" t="s">
        <v>148</v>
      </c>
      <c r="L52" t="str">
        <f t="shared" si="6"/>
        <v/>
      </c>
      <c r="M52" t="str">
        <f t="shared" si="7"/>
        <v/>
      </c>
      <c r="N52" t="s">
        <v>148</v>
      </c>
    </row>
    <row r="53" spans="1:14">
      <c r="A53" t="str">
        <f t="shared" si="8"/>
        <v/>
      </c>
      <c r="B53" t="str">
        <f t="shared" si="3"/>
        <v/>
      </c>
      <c r="D53" t="str">
        <f t="shared" si="9"/>
        <v/>
      </c>
      <c r="E53" t="str">
        <f t="shared" si="1"/>
        <v/>
      </c>
      <c r="F53" t="s">
        <v>86</v>
      </c>
      <c r="H53" t="str">
        <f t="shared" si="4"/>
        <v/>
      </c>
      <c r="I53" t="str">
        <f t="shared" si="5"/>
        <v/>
      </c>
      <c r="J53" t="s">
        <v>149</v>
      </c>
      <c r="L53" t="str">
        <f t="shared" si="6"/>
        <v/>
      </c>
      <c r="M53" t="str">
        <f t="shared" si="7"/>
        <v/>
      </c>
      <c r="N53" t="s">
        <v>149</v>
      </c>
    </row>
    <row r="54" spans="1:14">
      <c r="A54" t="str">
        <f t="shared" si="8"/>
        <v/>
      </c>
      <c r="B54" t="str">
        <f t="shared" si="3"/>
        <v/>
      </c>
      <c r="D54" t="str">
        <f t="shared" si="9"/>
        <v/>
      </c>
      <c r="E54" t="str">
        <f t="shared" si="1"/>
        <v/>
      </c>
      <c r="F54" t="s">
        <v>87</v>
      </c>
      <c r="H54" t="str">
        <f t="shared" si="4"/>
        <v/>
      </c>
      <c r="I54" t="str">
        <f t="shared" si="5"/>
        <v/>
      </c>
      <c r="J54" t="s">
        <v>150</v>
      </c>
      <c r="L54" t="str">
        <f t="shared" si="6"/>
        <v/>
      </c>
      <c r="M54" t="str">
        <f t="shared" si="7"/>
        <v/>
      </c>
      <c r="N54" t="s">
        <v>150</v>
      </c>
    </row>
    <row r="55" spans="1:14">
      <c r="A55" t="str">
        <f t="shared" si="8"/>
        <v/>
      </c>
      <c r="B55" t="str">
        <f t="shared" si="3"/>
        <v/>
      </c>
      <c r="D55" t="str">
        <f t="shared" si="9"/>
        <v/>
      </c>
      <c r="E55" t="str">
        <f t="shared" si="1"/>
        <v/>
      </c>
      <c r="F55" t="s">
        <v>88</v>
      </c>
      <c r="H55" t="str">
        <f t="shared" si="4"/>
        <v/>
      </c>
      <c r="I55" t="str">
        <f t="shared" si="5"/>
        <v/>
      </c>
      <c r="J55" t="s">
        <v>151</v>
      </c>
      <c r="L55" t="str">
        <f t="shared" si="6"/>
        <v/>
      </c>
      <c r="M55" t="str">
        <f t="shared" si="7"/>
        <v/>
      </c>
      <c r="N55" t="s">
        <v>151</v>
      </c>
    </row>
    <row r="56" spans="1:14">
      <c r="A56" t="str">
        <f t="shared" si="8"/>
        <v/>
      </c>
      <c r="B56" t="str">
        <f t="shared" si="3"/>
        <v/>
      </c>
      <c r="D56" t="str">
        <f t="shared" si="9"/>
        <v/>
      </c>
      <c r="E56" t="str">
        <f t="shared" si="1"/>
        <v/>
      </c>
      <c r="F56" t="s">
        <v>89</v>
      </c>
      <c r="H56" t="str">
        <f t="shared" si="4"/>
        <v/>
      </c>
      <c r="I56" t="str">
        <f t="shared" si="5"/>
        <v/>
      </c>
      <c r="J56" t="s">
        <v>152</v>
      </c>
      <c r="L56" t="str">
        <f t="shared" si="6"/>
        <v/>
      </c>
      <c r="M56" t="str">
        <f t="shared" si="7"/>
        <v/>
      </c>
      <c r="N56" t="s">
        <v>152</v>
      </c>
    </row>
    <row r="57" spans="1:14">
      <c r="A57" t="str">
        <f t="shared" si="8"/>
        <v/>
      </c>
      <c r="B57" t="str">
        <f t="shared" si="3"/>
        <v/>
      </c>
      <c r="D57" t="str">
        <f t="shared" si="9"/>
        <v/>
      </c>
      <c r="E57" t="str">
        <f t="shared" si="1"/>
        <v/>
      </c>
      <c r="F57" t="s">
        <v>90</v>
      </c>
      <c r="H57" t="str">
        <f t="shared" si="4"/>
        <v/>
      </c>
      <c r="I57" t="str">
        <f t="shared" si="5"/>
        <v/>
      </c>
      <c r="J57" t="s">
        <v>153</v>
      </c>
      <c r="L57" t="str">
        <f t="shared" si="6"/>
        <v/>
      </c>
      <c r="M57" t="str">
        <f t="shared" si="7"/>
        <v/>
      </c>
      <c r="N57" t="s">
        <v>153</v>
      </c>
    </row>
    <row r="58" spans="1:14">
      <c r="A58" t="str">
        <f t="shared" si="8"/>
        <v/>
      </c>
      <c r="B58" t="str">
        <f t="shared" si="3"/>
        <v/>
      </c>
      <c r="D58" t="str">
        <f t="shared" si="9"/>
        <v/>
      </c>
      <c r="E58" t="str">
        <f t="shared" si="1"/>
        <v/>
      </c>
      <c r="F58" t="s">
        <v>91</v>
      </c>
      <c r="H58" t="str">
        <f t="shared" si="4"/>
        <v/>
      </c>
      <c r="I58" t="str">
        <f t="shared" si="5"/>
        <v/>
      </c>
      <c r="J58" t="s">
        <v>154</v>
      </c>
      <c r="L58" t="str">
        <f t="shared" si="6"/>
        <v/>
      </c>
      <c r="M58" t="str">
        <f t="shared" si="7"/>
        <v/>
      </c>
      <c r="N58" t="s">
        <v>154</v>
      </c>
    </row>
    <row r="59" spans="1:14">
      <c r="A59" t="str">
        <f t="shared" si="8"/>
        <v/>
      </c>
      <c r="B59" t="str">
        <f t="shared" si="3"/>
        <v/>
      </c>
      <c r="D59" t="str">
        <f t="shared" si="9"/>
        <v/>
      </c>
      <c r="E59" t="str">
        <f t="shared" si="1"/>
        <v/>
      </c>
      <c r="F59" t="s">
        <v>92</v>
      </c>
      <c r="H59" t="str">
        <f t="shared" si="4"/>
        <v/>
      </c>
      <c r="I59" t="str">
        <f t="shared" si="5"/>
        <v/>
      </c>
      <c r="J59" t="s">
        <v>155</v>
      </c>
      <c r="L59" t="str">
        <f t="shared" si="6"/>
        <v/>
      </c>
      <c r="M59" t="str">
        <f t="shared" si="7"/>
        <v/>
      </c>
      <c r="N59" t="s">
        <v>155</v>
      </c>
    </row>
    <row r="60" spans="1:14">
      <c r="A60" t="str">
        <f t="shared" si="8"/>
        <v/>
      </c>
      <c r="B60" t="str">
        <f t="shared" si="3"/>
        <v/>
      </c>
      <c r="D60" t="str">
        <f t="shared" si="9"/>
        <v/>
      </c>
      <c r="E60" t="str">
        <f t="shared" si="1"/>
        <v/>
      </c>
      <c r="F60" t="s">
        <v>93</v>
      </c>
      <c r="H60" t="str">
        <f t="shared" si="4"/>
        <v/>
      </c>
      <c r="I60" t="str">
        <f t="shared" si="5"/>
        <v/>
      </c>
      <c r="J60" t="s">
        <v>156</v>
      </c>
      <c r="L60" t="str">
        <f t="shared" si="6"/>
        <v/>
      </c>
      <c r="M60" t="str">
        <f t="shared" si="7"/>
        <v/>
      </c>
      <c r="N60" t="s">
        <v>156</v>
      </c>
    </row>
    <row r="61" spans="1:14">
      <c r="A61" t="str">
        <f t="shared" si="8"/>
        <v/>
      </c>
      <c r="B61" t="str">
        <f t="shared" si="3"/>
        <v/>
      </c>
      <c r="D61" t="str">
        <f t="shared" si="9"/>
        <v/>
      </c>
      <c r="E61" t="str">
        <f t="shared" si="1"/>
        <v/>
      </c>
      <c r="F61" t="s">
        <v>94</v>
      </c>
      <c r="H61" t="str">
        <f t="shared" si="4"/>
        <v/>
      </c>
      <c r="I61" t="str">
        <f t="shared" si="5"/>
        <v/>
      </c>
      <c r="J61" t="s">
        <v>157</v>
      </c>
      <c r="L61" t="str">
        <f t="shared" si="6"/>
        <v/>
      </c>
      <c r="M61" t="str">
        <f t="shared" si="7"/>
        <v/>
      </c>
      <c r="N61" t="s">
        <v>157</v>
      </c>
    </row>
    <row r="62" spans="1:14">
      <c r="A62" t="str">
        <f t="shared" si="8"/>
        <v/>
      </c>
      <c r="B62" t="str">
        <f t="shared" si="3"/>
        <v/>
      </c>
      <c r="D62" t="str">
        <f t="shared" si="9"/>
        <v/>
      </c>
      <c r="E62" t="str">
        <f t="shared" si="1"/>
        <v/>
      </c>
      <c r="F62" t="s">
        <v>95</v>
      </c>
      <c r="H62" t="str">
        <f t="shared" si="4"/>
        <v/>
      </c>
      <c r="I62" t="str">
        <f t="shared" si="5"/>
        <v/>
      </c>
      <c r="J62" t="s">
        <v>158</v>
      </c>
      <c r="L62" t="str">
        <f t="shared" si="6"/>
        <v/>
      </c>
      <c r="M62" t="str">
        <f t="shared" si="7"/>
        <v/>
      </c>
      <c r="N62" t="s">
        <v>158</v>
      </c>
    </row>
    <row r="63" spans="1:14">
      <c r="A63" t="str">
        <f t="shared" si="8"/>
        <v/>
      </c>
      <c r="B63" t="str">
        <f t="shared" si="3"/>
        <v/>
      </c>
      <c r="D63" t="str">
        <f t="shared" si="9"/>
        <v/>
      </c>
      <c r="E63" t="str">
        <f t="shared" si="1"/>
        <v/>
      </c>
      <c r="F63" t="s">
        <v>96</v>
      </c>
      <c r="H63" t="str">
        <f t="shared" si="4"/>
        <v/>
      </c>
      <c r="I63" t="str">
        <f t="shared" si="5"/>
        <v/>
      </c>
      <c r="J63" t="s">
        <v>159</v>
      </c>
      <c r="L63" t="str">
        <f t="shared" si="6"/>
        <v/>
      </c>
      <c r="M63" t="str">
        <f t="shared" si="7"/>
        <v/>
      </c>
      <c r="N63" t="s">
        <v>159</v>
      </c>
    </row>
    <row r="64" spans="1:14">
      <c r="A64" t="str">
        <f t="shared" si="8"/>
        <v/>
      </c>
      <c r="B64" t="str">
        <f t="shared" si="3"/>
        <v/>
      </c>
      <c r="D64" t="str">
        <f t="shared" si="9"/>
        <v/>
      </c>
      <c r="E64" t="str">
        <f t="shared" si="1"/>
        <v/>
      </c>
      <c r="F64" t="s">
        <v>97</v>
      </c>
      <c r="H64" t="str">
        <f t="shared" si="4"/>
        <v/>
      </c>
      <c r="I64" t="str">
        <f t="shared" si="5"/>
        <v/>
      </c>
      <c r="J64" t="s">
        <v>160</v>
      </c>
      <c r="L64" t="str">
        <f t="shared" si="6"/>
        <v/>
      </c>
      <c r="M64" t="str">
        <f t="shared" si="7"/>
        <v/>
      </c>
      <c r="N64" t="s">
        <v>160</v>
      </c>
    </row>
    <row r="65" spans="1:14">
      <c r="A65" t="str">
        <f>MID(変換元ファイル名,ROW(),1)</f>
        <v/>
      </c>
      <c r="B65" t="str">
        <f t="shared" si="3"/>
        <v/>
      </c>
      <c r="D65" t="str">
        <f t="shared" ref="D65" si="10">MID(出力ファイル名,ROW(),1)</f>
        <v/>
      </c>
      <c r="E65" t="str">
        <f t="shared" si="1"/>
        <v/>
      </c>
      <c r="H65" t="str">
        <f t="shared" si="4"/>
        <v/>
      </c>
      <c r="I65" t="str">
        <f t="shared" si="5"/>
        <v/>
      </c>
      <c r="J65" t="s">
        <v>161</v>
      </c>
      <c r="L65" t="str">
        <f t="shared" si="6"/>
        <v/>
      </c>
      <c r="M65" t="str">
        <f t="shared" si="7"/>
        <v/>
      </c>
      <c r="N65" t="s">
        <v>161</v>
      </c>
    </row>
    <row r="66" spans="1:14">
      <c r="H66" t="str">
        <f t="shared" si="4"/>
        <v/>
      </c>
      <c r="I66" t="str">
        <f t="shared" si="5"/>
        <v/>
      </c>
      <c r="J66" t="s">
        <v>162</v>
      </c>
      <c r="L66" t="str">
        <f t="shared" si="6"/>
        <v/>
      </c>
      <c r="M66" t="str">
        <f t="shared" si="7"/>
        <v/>
      </c>
      <c r="N66" t="s">
        <v>162</v>
      </c>
    </row>
    <row r="67" spans="1:14">
      <c r="H67" t="str">
        <f t="shared" ref="H67:H130" si="11">MID(変換元フォルダ,ROW()-1,1)</f>
        <v/>
      </c>
      <c r="I67" t="str">
        <f t="shared" ref="I67:I130" si="12">IFERROR(IF(_xlfn.UNICODE($H67)&lt;4096,IF($H67="\","/",$H67),"\u"&amp;LOWER(DEC2HEX(_xlfn.UNICODE($H67)))),"")</f>
        <v/>
      </c>
      <c r="J67" t="s">
        <v>163</v>
      </c>
      <c r="L67" t="str">
        <f t="shared" ref="L67:L130" si="13">MID(変換先フォルダ,ROW()-1,1)</f>
        <v/>
      </c>
      <c r="M67" t="str">
        <f t="shared" ref="M67:M130" si="14">IFERROR(IF(_xlfn.UNICODE($L67)&lt;4096,IF($L67="\","/",$L67),"\u"&amp;LOWER(DEC2HEX(_xlfn.UNICODE($L67)))),"")</f>
        <v/>
      </c>
      <c r="N67" t="s">
        <v>163</v>
      </c>
    </row>
    <row r="68" spans="1:14">
      <c r="H68" t="str">
        <f t="shared" si="11"/>
        <v/>
      </c>
      <c r="I68" t="str">
        <f t="shared" si="12"/>
        <v/>
      </c>
      <c r="J68" t="s">
        <v>164</v>
      </c>
      <c r="L68" t="str">
        <f t="shared" si="13"/>
        <v/>
      </c>
      <c r="M68" t="str">
        <f t="shared" si="14"/>
        <v/>
      </c>
      <c r="N68" t="s">
        <v>164</v>
      </c>
    </row>
    <row r="69" spans="1:14">
      <c r="H69" t="str">
        <f t="shared" si="11"/>
        <v/>
      </c>
      <c r="I69" t="str">
        <f t="shared" si="12"/>
        <v/>
      </c>
      <c r="J69" t="s">
        <v>165</v>
      </c>
      <c r="L69" t="str">
        <f t="shared" si="13"/>
        <v/>
      </c>
      <c r="M69" t="str">
        <f t="shared" si="14"/>
        <v/>
      </c>
      <c r="N69" t="s">
        <v>165</v>
      </c>
    </row>
    <row r="70" spans="1:14">
      <c r="H70" t="str">
        <f t="shared" si="11"/>
        <v/>
      </c>
      <c r="I70" t="str">
        <f t="shared" si="12"/>
        <v/>
      </c>
      <c r="J70" t="s">
        <v>166</v>
      </c>
      <c r="L70" t="str">
        <f t="shared" si="13"/>
        <v/>
      </c>
      <c r="M70" t="str">
        <f t="shared" si="14"/>
        <v/>
      </c>
      <c r="N70" t="s">
        <v>166</v>
      </c>
    </row>
    <row r="71" spans="1:14">
      <c r="H71" t="str">
        <f t="shared" si="11"/>
        <v/>
      </c>
      <c r="I71" t="str">
        <f t="shared" si="12"/>
        <v/>
      </c>
      <c r="J71" t="s">
        <v>167</v>
      </c>
      <c r="L71" t="str">
        <f t="shared" si="13"/>
        <v/>
      </c>
      <c r="M71" t="str">
        <f t="shared" si="14"/>
        <v/>
      </c>
      <c r="N71" t="s">
        <v>167</v>
      </c>
    </row>
    <row r="72" spans="1:14">
      <c r="H72" t="str">
        <f t="shared" si="11"/>
        <v/>
      </c>
      <c r="I72" t="str">
        <f t="shared" si="12"/>
        <v/>
      </c>
      <c r="J72" t="s">
        <v>168</v>
      </c>
      <c r="L72" t="str">
        <f t="shared" si="13"/>
        <v/>
      </c>
      <c r="M72" t="str">
        <f t="shared" si="14"/>
        <v/>
      </c>
      <c r="N72" t="s">
        <v>168</v>
      </c>
    </row>
    <row r="73" spans="1:14">
      <c r="H73" t="str">
        <f t="shared" si="11"/>
        <v/>
      </c>
      <c r="I73" t="str">
        <f t="shared" si="12"/>
        <v/>
      </c>
      <c r="J73" t="s">
        <v>169</v>
      </c>
      <c r="L73" t="str">
        <f t="shared" si="13"/>
        <v/>
      </c>
      <c r="M73" t="str">
        <f t="shared" si="14"/>
        <v/>
      </c>
      <c r="N73" t="s">
        <v>169</v>
      </c>
    </row>
    <row r="74" spans="1:14">
      <c r="H74" t="str">
        <f t="shared" si="11"/>
        <v/>
      </c>
      <c r="I74" t="str">
        <f t="shared" si="12"/>
        <v/>
      </c>
      <c r="J74" t="s">
        <v>170</v>
      </c>
      <c r="L74" t="str">
        <f t="shared" si="13"/>
        <v/>
      </c>
      <c r="M74" t="str">
        <f t="shared" si="14"/>
        <v/>
      </c>
      <c r="N74" t="s">
        <v>170</v>
      </c>
    </row>
    <row r="75" spans="1:14">
      <c r="H75" t="str">
        <f t="shared" si="11"/>
        <v/>
      </c>
      <c r="I75" t="str">
        <f t="shared" si="12"/>
        <v/>
      </c>
      <c r="J75" t="s">
        <v>171</v>
      </c>
      <c r="L75" t="str">
        <f t="shared" si="13"/>
        <v/>
      </c>
      <c r="M75" t="str">
        <f t="shared" si="14"/>
        <v/>
      </c>
      <c r="N75" t="s">
        <v>171</v>
      </c>
    </row>
    <row r="76" spans="1:14">
      <c r="H76" t="str">
        <f t="shared" si="11"/>
        <v/>
      </c>
      <c r="I76" t="str">
        <f t="shared" si="12"/>
        <v/>
      </c>
      <c r="J76" t="s">
        <v>172</v>
      </c>
      <c r="L76" t="str">
        <f t="shared" si="13"/>
        <v/>
      </c>
      <c r="M76" t="str">
        <f t="shared" si="14"/>
        <v/>
      </c>
      <c r="N76" t="s">
        <v>172</v>
      </c>
    </row>
    <row r="77" spans="1:14">
      <c r="H77" t="str">
        <f t="shared" si="11"/>
        <v/>
      </c>
      <c r="I77" t="str">
        <f t="shared" si="12"/>
        <v/>
      </c>
      <c r="J77" t="s">
        <v>173</v>
      </c>
      <c r="L77" t="str">
        <f t="shared" si="13"/>
        <v/>
      </c>
      <c r="M77" t="str">
        <f t="shared" si="14"/>
        <v/>
      </c>
      <c r="N77" t="s">
        <v>173</v>
      </c>
    </row>
    <row r="78" spans="1:14">
      <c r="H78" t="str">
        <f t="shared" si="11"/>
        <v/>
      </c>
      <c r="I78" t="str">
        <f t="shared" si="12"/>
        <v/>
      </c>
      <c r="J78" t="s">
        <v>174</v>
      </c>
      <c r="L78" t="str">
        <f t="shared" si="13"/>
        <v/>
      </c>
      <c r="M78" t="str">
        <f t="shared" si="14"/>
        <v/>
      </c>
      <c r="N78" t="s">
        <v>174</v>
      </c>
    </row>
    <row r="79" spans="1:14">
      <c r="H79" t="str">
        <f t="shared" si="11"/>
        <v/>
      </c>
      <c r="I79" t="str">
        <f t="shared" si="12"/>
        <v/>
      </c>
      <c r="J79" t="s">
        <v>175</v>
      </c>
      <c r="L79" t="str">
        <f t="shared" si="13"/>
        <v/>
      </c>
      <c r="M79" t="str">
        <f t="shared" si="14"/>
        <v/>
      </c>
      <c r="N79" t="s">
        <v>175</v>
      </c>
    </row>
    <row r="80" spans="1:14">
      <c r="H80" t="str">
        <f t="shared" si="11"/>
        <v/>
      </c>
      <c r="I80" t="str">
        <f t="shared" si="12"/>
        <v/>
      </c>
      <c r="J80" t="s">
        <v>176</v>
      </c>
      <c r="L80" t="str">
        <f t="shared" si="13"/>
        <v/>
      </c>
      <c r="M80" t="str">
        <f t="shared" si="14"/>
        <v/>
      </c>
      <c r="N80" t="s">
        <v>176</v>
      </c>
    </row>
    <row r="81" spans="8:14">
      <c r="H81" t="str">
        <f t="shared" si="11"/>
        <v/>
      </c>
      <c r="I81" t="str">
        <f t="shared" si="12"/>
        <v/>
      </c>
      <c r="J81" t="s">
        <v>177</v>
      </c>
      <c r="L81" t="str">
        <f t="shared" si="13"/>
        <v/>
      </c>
      <c r="M81" t="str">
        <f t="shared" si="14"/>
        <v/>
      </c>
      <c r="N81" t="s">
        <v>177</v>
      </c>
    </row>
    <row r="82" spans="8:14">
      <c r="H82" t="str">
        <f t="shared" si="11"/>
        <v/>
      </c>
      <c r="I82" t="str">
        <f t="shared" si="12"/>
        <v/>
      </c>
      <c r="J82" t="s">
        <v>178</v>
      </c>
      <c r="L82" t="str">
        <f t="shared" si="13"/>
        <v/>
      </c>
      <c r="M82" t="str">
        <f t="shared" si="14"/>
        <v/>
      </c>
      <c r="N82" t="s">
        <v>178</v>
      </c>
    </row>
    <row r="83" spans="8:14">
      <c r="H83" t="str">
        <f t="shared" si="11"/>
        <v/>
      </c>
      <c r="I83" t="str">
        <f t="shared" si="12"/>
        <v/>
      </c>
      <c r="J83" t="s">
        <v>179</v>
      </c>
      <c r="L83" t="str">
        <f t="shared" si="13"/>
        <v/>
      </c>
      <c r="M83" t="str">
        <f t="shared" si="14"/>
        <v/>
      </c>
      <c r="N83" t="s">
        <v>179</v>
      </c>
    </row>
    <row r="84" spans="8:14">
      <c r="H84" t="str">
        <f t="shared" si="11"/>
        <v/>
      </c>
      <c r="I84" t="str">
        <f t="shared" si="12"/>
        <v/>
      </c>
      <c r="J84" t="s">
        <v>180</v>
      </c>
      <c r="L84" t="str">
        <f t="shared" si="13"/>
        <v/>
      </c>
      <c r="M84" t="str">
        <f t="shared" si="14"/>
        <v/>
      </c>
      <c r="N84" t="s">
        <v>180</v>
      </c>
    </row>
    <row r="85" spans="8:14">
      <c r="H85" t="str">
        <f t="shared" si="11"/>
        <v/>
      </c>
      <c r="I85" t="str">
        <f t="shared" si="12"/>
        <v/>
      </c>
      <c r="J85" t="s">
        <v>181</v>
      </c>
      <c r="L85" t="str">
        <f t="shared" si="13"/>
        <v/>
      </c>
      <c r="M85" t="str">
        <f t="shared" si="14"/>
        <v/>
      </c>
      <c r="N85" t="s">
        <v>181</v>
      </c>
    </row>
    <row r="86" spans="8:14">
      <c r="H86" t="str">
        <f t="shared" si="11"/>
        <v/>
      </c>
      <c r="I86" t="str">
        <f t="shared" si="12"/>
        <v/>
      </c>
      <c r="J86" t="s">
        <v>182</v>
      </c>
      <c r="L86" t="str">
        <f t="shared" si="13"/>
        <v/>
      </c>
      <c r="M86" t="str">
        <f t="shared" si="14"/>
        <v/>
      </c>
      <c r="N86" t="s">
        <v>182</v>
      </c>
    </row>
    <row r="87" spans="8:14">
      <c r="H87" t="str">
        <f t="shared" si="11"/>
        <v/>
      </c>
      <c r="I87" t="str">
        <f t="shared" si="12"/>
        <v/>
      </c>
      <c r="J87" t="s">
        <v>183</v>
      </c>
      <c r="L87" t="str">
        <f t="shared" si="13"/>
        <v/>
      </c>
      <c r="M87" t="str">
        <f t="shared" si="14"/>
        <v/>
      </c>
      <c r="N87" t="s">
        <v>183</v>
      </c>
    </row>
    <row r="88" spans="8:14">
      <c r="H88" t="str">
        <f t="shared" si="11"/>
        <v/>
      </c>
      <c r="I88" t="str">
        <f t="shared" si="12"/>
        <v/>
      </c>
      <c r="J88" t="s">
        <v>184</v>
      </c>
      <c r="L88" t="str">
        <f t="shared" si="13"/>
        <v/>
      </c>
      <c r="M88" t="str">
        <f t="shared" si="14"/>
        <v/>
      </c>
      <c r="N88" t="s">
        <v>184</v>
      </c>
    </row>
    <row r="89" spans="8:14">
      <c r="H89" t="str">
        <f t="shared" si="11"/>
        <v/>
      </c>
      <c r="I89" t="str">
        <f t="shared" si="12"/>
        <v/>
      </c>
      <c r="J89" t="s">
        <v>185</v>
      </c>
      <c r="L89" t="str">
        <f t="shared" si="13"/>
        <v/>
      </c>
      <c r="M89" t="str">
        <f t="shared" si="14"/>
        <v/>
      </c>
      <c r="N89" t="s">
        <v>185</v>
      </c>
    </row>
    <row r="90" spans="8:14">
      <c r="H90" t="str">
        <f t="shared" si="11"/>
        <v/>
      </c>
      <c r="I90" t="str">
        <f t="shared" si="12"/>
        <v/>
      </c>
      <c r="J90" t="s">
        <v>186</v>
      </c>
      <c r="L90" t="str">
        <f t="shared" si="13"/>
        <v/>
      </c>
      <c r="M90" t="str">
        <f t="shared" si="14"/>
        <v/>
      </c>
      <c r="N90" t="s">
        <v>186</v>
      </c>
    </row>
    <row r="91" spans="8:14">
      <c r="H91" t="str">
        <f t="shared" si="11"/>
        <v/>
      </c>
      <c r="I91" t="str">
        <f t="shared" si="12"/>
        <v/>
      </c>
      <c r="J91" t="s">
        <v>187</v>
      </c>
      <c r="L91" t="str">
        <f t="shared" si="13"/>
        <v/>
      </c>
      <c r="M91" t="str">
        <f t="shared" si="14"/>
        <v/>
      </c>
      <c r="N91" t="s">
        <v>187</v>
      </c>
    </row>
    <row r="92" spans="8:14">
      <c r="H92" t="str">
        <f t="shared" si="11"/>
        <v/>
      </c>
      <c r="I92" t="str">
        <f t="shared" si="12"/>
        <v/>
      </c>
      <c r="J92" t="s">
        <v>188</v>
      </c>
      <c r="L92" t="str">
        <f t="shared" si="13"/>
        <v/>
      </c>
      <c r="M92" t="str">
        <f t="shared" si="14"/>
        <v/>
      </c>
      <c r="N92" t="s">
        <v>188</v>
      </c>
    </row>
    <row r="93" spans="8:14">
      <c r="H93" t="str">
        <f t="shared" si="11"/>
        <v/>
      </c>
      <c r="I93" t="str">
        <f t="shared" si="12"/>
        <v/>
      </c>
      <c r="J93" t="s">
        <v>189</v>
      </c>
      <c r="L93" t="str">
        <f t="shared" si="13"/>
        <v/>
      </c>
      <c r="M93" t="str">
        <f t="shared" si="14"/>
        <v/>
      </c>
      <c r="N93" t="s">
        <v>189</v>
      </c>
    </row>
    <row r="94" spans="8:14">
      <c r="H94" t="str">
        <f t="shared" si="11"/>
        <v/>
      </c>
      <c r="I94" t="str">
        <f t="shared" si="12"/>
        <v/>
      </c>
      <c r="J94" t="s">
        <v>190</v>
      </c>
      <c r="L94" t="str">
        <f t="shared" si="13"/>
        <v/>
      </c>
      <c r="M94" t="str">
        <f t="shared" si="14"/>
        <v/>
      </c>
      <c r="N94" t="s">
        <v>190</v>
      </c>
    </row>
    <row r="95" spans="8:14">
      <c r="H95" t="str">
        <f t="shared" si="11"/>
        <v/>
      </c>
      <c r="I95" t="str">
        <f t="shared" si="12"/>
        <v/>
      </c>
      <c r="J95" t="s">
        <v>191</v>
      </c>
      <c r="L95" t="str">
        <f t="shared" si="13"/>
        <v/>
      </c>
      <c r="M95" t="str">
        <f t="shared" si="14"/>
        <v/>
      </c>
      <c r="N95" t="s">
        <v>191</v>
      </c>
    </row>
    <row r="96" spans="8:14">
      <c r="H96" t="str">
        <f t="shared" si="11"/>
        <v/>
      </c>
      <c r="I96" t="str">
        <f t="shared" si="12"/>
        <v/>
      </c>
      <c r="J96" t="s">
        <v>192</v>
      </c>
      <c r="L96" t="str">
        <f t="shared" si="13"/>
        <v/>
      </c>
      <c r="M96" t="str">
        <f t="shared" si="14"/>
        <v/>
      </c>
      <c r="N96" t="s">
        <v>192</v>
      </c>
    </row>
    <row r="97" spans="8:14">
      <c r="H97" t="str">
        <f t="shared" si="11"/>
        <v/>
      </c>
      <c r="I97" t="str">
        <f t="shared" si="12"/>
        <v/>
      </c>
      <c r="J97" t="s">
        <v>193</v>
      </c>
      <c r="L97" t="str">
        <f t="shared" si="13"/>
        <v/>
      </c>
      <c r="M97" t="str">
        <f t="shared" si="14"/>
        <v/>
      </c>
      <c r="N97" t="s">
        <v>193</v>
      </c>
    </row>
    <row r="98" spans="8:14">
      <c r="H98" t="str">
        <f t="shared" si="11"/>
        <v/>
      </c>
      <c r="I98" t="str">
        <f t="shared" si="12"/>
        <v/>
      </c>
      <c r="J98" t="s">
        <v>194</v>
      </c>
      <c r="L98" t="str">
        <f t="shared" si="13"/>
        <v/>
      </c>
      <c r="M98" t="str">
        <f t="shared" si="14"/>
        <v/>
      </c>
      <c r="N98" t="s">
        <v>194</v>
      </c>
    </row>
    <row r="99" spans="8:14">
      <c r="H99" t="str">
        <f t="shared" si="11"/>
        <v/>
      </c>
      <c r="I99" t="str">
        <f t="shared" si="12"/>
        <v/>
      </c>
      <c r="J99" t="s">
        <v>195</v>
      </c>
      <c r="L99" t="str">
        <f t="shared" si="13"/>
        <v/>
      </c>
      <c r="M99" t="str">
        <f t="shared" si="14"/>
        <v/>
      </c>
      <c r="N99" t="s">
        <v>195</v>
      </c>
    </row>
    <row r="100" spans="8:14">
      <c r="H100" t="str">
        <f t="shared" si="11"/>
        <v/>
      </c>
      <c r="I100" t="str">
        <f t="shared" si="12"/>
        <v/>
      </c>
      <c r="J100" t="s">
        <v>196</v>
      </c>
      <c r="L100" t="str">
        <f t="shared" si="13"/>
        <v/>
      </c>
      <c r="M100" t="str">
        <f t="shared" si="14"/>
        <v/>
      </c>
      <c r="N100" t="s">
        <v>196</v>
      </c>
    </row>
    <row r="101" spans="8:14">
      <c r="H101" t="str">
        <f t="shared" si="11"/>
        <v/>
      </c>
      <c r="I101" t="str">
        <f t="shared" si="12"/>
        <v/>
      </c>
      <c r="J101" t="s">
        <v>197</v>
      </c>
      <c r="L101" t="str">
        <f t="shared" si="13"/>
        <v/>
      </c>
      <c r="M101" t="str">
        <f t="shared" si="14"/>
        <v/>
      </c>
      <c r="N101" t="s">
        <v>197</v>
      </c>
    </row>
    <row r="102" spans="8:14">
      <c r="H102" t="str">
        <f t="shared" si="11"/>
        <v/>
      </c>
      <c r="I102" t="str">
        <f t="shared" si="12"/>
        <v/>
      </c>
      <c r="J102" t="s">
        <v>198</v>
      </c>
      <c r="L102" t="str">
        <f t="shared" si="13"/>
        <v/>
      </c>
      <c r="M102" t="str">
        <f t="shared" si="14"/>
        <v/>
      </c>
      <c r="N102" t="s">
        <v>198</v>
      </c>
    </row>
    <row r="103" spans="8:14">
      <c r="H103" t="str">
        <f t="shared" si="11"/>
        <v/>
      </c>
      <c r="I103" t="str">
        <f t="shared" si="12"/>
        <v/>
      </c>
      <c r="J103" t="s">
        <v>199</v>
      </c>
      <c r="L103" t="str">
        <f t="shared" si="13"/>
        <v/>
      </c>
      <c r="M103" t="str">
        <f t="shared" si="14"/>
        <v/>
      </c>
      <c r="N103" t="s">
        <v>199</v>
      </c>
    </row>
    <row r="104" spans="8:14">
      <c r="H104" t="str">
        <f t="shared" si="11"/>
        <v/>
      </c>
      <c r="I104" t="str">
        <f t="shared" si="12"/>
        <v/>
      </c>
      <c r="J104" t="s">
        <v>200</v>
      </c>
      <c r="L104" t="str">
        <f t="shared" si="13"/>
        <v/>
      </c>
      <c r="M104" t="str">
        <f t="shared" si="14"/>
        <v/>
      </c>
      <c r="N104" t="s">
        <v>200</v>
      </c>
    </row>
    <row r="105" spans="8:14">
      <c r="H105" t="str">
        <f t="shared" si="11"/>
        <v/>
      </c>
      <c r="I105" t="str">
        <f t="shared" si="12"/>
        <v/>
      </c>
      <c r="J105" t="s">
        <v>201</v>
      </c>
      <c r="L105" t="str">
        <f t="shared" si="13"/>
        <v/>
      </c>
      <c r="M105" t="str">
        <f t="shared" si="14"/>
        <v/>
      </c>
      <c r="N105" t="s">
        <v>201</v>
      </c>
    </row>
    <row r="106" spans="8:14">
      <c r="H106" t="str">
        <f t="shared" si="11"/>
        <v/>
      </c>
      <c r="I106" t="str">
        <f t="shared" si="12"/>
        <v/>
      </c>
      <c r="J106" t="s">
        <v>202</v>
      </c>
      <c r="L106" t="str">
        <f t="shared" si="13"/>
        <v/>
      </c>
      <c r="M106" t="str">
        <f t="shared" si="14"/>
        <v/>
      </c>
      <c r="N106" t="s">
        <v>202</v>
      </c>
    </row>
    <row r="107" spans="8:14">
      <c r="H107" t="str">
        <f t="shared" si="11"/>
        <v/>
      </c>
      <c r="I107" t="str">
        <f t="shared" si="12"/>
        <v/>
      </c>
      <c r="J107" t="s">
        <v>203</v>
      </c>
      <c r="L107" t="str">
        <f t="shared" si="13"/>
        <v/>
      </c>
      <c r="M107" t="str">
        <f t="shared" si="14"/>
        <v/>
      </c>
      <c r="N107" t="s">
        <v>203</v>
      </c>
    </row>
    <row r="108" spans="8:14">
      <c r="H108" t="str">
        <f t="shared" si="11"/>
        <v/>
      </c>
      <c r="I108" t="str">
        <f t="shared" si="12"/>
        <v/>
      </c>
      <c r="J108" t="s">
        <v>204</v>
      </c>
      <c r="L108" t="str">
        <f t="shared" si="13"/>
        <v/>
      </c>
      <c r="M108" t="str">
        <f t="shared" si="14"/>
        <v/>
      </c>
      <c r="N108" t="s">
        <v>204</v>
      </c>
    </row>
    <row r="109" spans="8:14">
      <c r="H109" t="str">
        <f t="shared" si="11"/>
        <v/>
      </c>
      <c r="I109" t="str">
        <f t="shared" si="12"/>
        <v/>
      </c>
      <c r="J109" t="s">
        <v>205</v>
      </c>
      <c r="L109" t="str">
        <f t="shared" si="13"/>
        <v/>
      </c>
      <c r="M109" t="str">
        <f t="shared" si="14"/>
        <v/>
      </c>
      <c r="N109" t="s">
        <v>205</v>
      </c>
    </row>
    <row r="110" spans="8:14">
      <c r="H110" t="str">
        <f t="shared" si="11"/>
        <v/>
      </c>
      <c r="I110" t="str">
        <f t="shared" si="12"/>
        <v/>
      </c>
      <c r="J110" t="s">
        <v>206</v>
      </c>
      <c r="L110" t="str">
        <f t="shared" si="13"/>
        <v/>
      </c>
      <c r="M110" t="str">
        <f t="shared" si="14"/>
        <v/>
      </c>
      <c r="N110" t="s">
        <v>206</v>
      </c>
    </row>
    <row r="111" spans="8:14">
      <c r="H111" t="str">
        <f t="shared" si="11"/>
        <v/>
      </c>
      <c r="I111" t="str">
        <f t="shared" si="12"/>
        <v/>
      </c>
      <c r="J111" t="s">
        <v>207</v>
      </c>
      <c r="L111" t="str">
        <f t="shared" si="13"/>
        <v/>
      </c>
      <c r="M111" t="str">
        <f t="shared" si="14"/>
        <v/>
      </c>
      <c r="N111" t="s">
        <v>207</v>
      </c>
    </row>
    <row r="112" spans="8:14">
      <c r="H112" t="str">
        <f t="shared" si="11"/>
        <v/>
      </c>
      <c r="I112" t="str">
        <f t="shared" si="12"/>
        <v/>
      </c>
      <c r="J112" t="s">
        <v>208</v>
      </c>
      <c r="L112" t="str">
        <f t="shared" si="13"/>
        <v/>
      </c>
      <c r="M112" t="str">
        <f t="shared" si="14"/>
        <v/>
      </c>
      <c r="N112" t="s">
        <v>208</v>
      </c>
    </row>
    <row r="113" spans="8:14">
      <c r="H113" t="str">
        <f t="shared" si="11"/>
        <v/>
      </c>
      <c r="I113" t="str">
        <f t="shared" si="12"/>
        <v/>
      </c>
      <c r="J113" t="s">
        <v>209</v>
      </c>
      <c r="L113" t="str">
        <f t="shared" si="13"/>
        <v/>
      </c>
      <c r="M113" t="str">
        <f t="shared" si="14"/>
        <v/>
      </c>
      <c r="N113" t="s">
        <v>209</v>
      </c>
    </row>
    <row r="114" spans="8:14">
      <c r="H114" t="str">
        <f t="shared" si="11"/>
        <v/>
      </c>
      <c r="I114" t="str">
        <f t="shared" si="12"/>
        <v/>
      </c>
      <c r="J114" t="s">
        <v>210</v>
      </c>
      <c r="L114" t="str">
        <f t="shared" si="13"/>
        <v/>
      </c>
      <c r="M114" t="str">
        <f t="shared" si="14"/>
        <v/>
      </c>
      <c r="N114" t="s">
        <v>210</v>
      </c>
    </row>
    <row r="115" spans="8:14">
      <c r="H115" t="str">
        <f t="shared" si="11"/>
        <v/>
      </c>
      <c r="I115" t="str">
        <f t="shared" si="12"/>
        <v/>
      </c>
      <c r="J115" t="s">
        <v>211</v>
      </c>
      <c r="L115" t="str">
        <f t="shared" si="13"/>
        <v/>
      </c>
      <c r="M115" t="str">
        <f t="shared" si="14"/>
        <v/>
      </c>
      <c r="N115" t="s">
        <v>211</v>
      </c>
    </row>
    <row r="116" spans="8:14">
      <c r="H116" t="str">
        <f t="shared" si="11"/>
        <v/>
      </c>
      <c r="I116" t="str">
        <f t="shared" si="12"/>
        <v/>
      </c>
      <c r="J116" t="s">
        <v>212</v>
      </c>
      <c r="L116" t="str">
        <f t="shared" si="13"/>
        <v/>
      </c>
      <c r="M116" t="str">
        <f t="shared" si="14"/>
        <v/>
      </c>
      <c r="N116" t="s">
        <v>212</v>
      </c>
    </row>
    <row r="117" spans="8:14">
      <c r="H117" t="str">
        <f t="shared" si="11"/>
        <v/>
      </c>
      <c r="I117" t="str">
        <f t="shared" si="12"/>
        <v/>
      </c>
      <c r="J117" t="s">
        <v>213</v>
      </c>
      <c r="L117" t="str">
        <f t="shared" si="13"/>
        <v/>
      </c>
      <c r="M117" t="str">
        <f t="shared" si="14"/>
        <v/>
      </c>
      <c r="N117" t="s">
        <v>213</v>
      </c>
    </row>
    <row r="118" spans="8:14">
      <c r="H118" t="str">
        <f t="shared" si="11"/>
        <v/>
      </c>
      <c r="I118" t="str">
        <f t="shared" si="12"/>
        <v/>
      </c>
      <c r="J118" t="s">
        <v>214</v>
      </c>
      <c r="L118" t="str">
        <f t="shared" si="13"/>
        <v/>
      </c>
      <c r="M118" t="str">
        <f t="shared" si="14"/>
        <v/>
      </c>
      <c r="N118" t="s">
        <v>214</v>
      </c>
    </row>
    <row r="119" spans="8:14">
      <c r="H119" t="str">
        <f t="shared" si="11"/>
        <v/>
      </c>
      <c r="I119" t="str">
        <f t="shared" si="12"/>
        <v/>
      </c>
      <c r="J119" t="s">
        <v>215</v>
      </c>
      <c r="L119" t="str">
        <f t="shared" si="13"/>
        <v/>
      </c>
      <c r="M119" t="str">
        <f t="shared" si="14"/>
        <v/>
      </c>
      <c r="N119" t="s">
        <v>215</v>
      </c>
    </row>
    <row r="120" spans="8:14">
      <c r="H120" t="str">
        <f t="shared" si="11"/>
        <v/>
      </c>
      <c r="I120" t="str">
        <f t="shared" si="12"/>
        <v/>
      </c>
      <c r="J120" t="s">
        <v>216</v>
      </c>
      <c r="L120" t="str">
        <f t="shared" si="13"/>
        <v/>
      </c>
      <c r="M120" t="str">
        <f t="shared" si="14"/>
        <v/>
      </c>
      <c r="N120" t="s">
        <v>216</v>
      </c>
    </row>
    <row r="121" spans="8:14">
      <c r="H121" t="str">
        <f t="shared" si="11"/>
        <v/>
      </c>
      <c r="I121" t="str">
        <f t="shared" si="12"/>
        <v/>
      </c>
      <c r="J121" t="s">
        <v>217</v>
      </c>
      <c r="L121" t="str">
        <f t="shared" si="13"/>
        <v/>
      </c>
      <c r="M121" t="str">
        <f t="shared" si="14"/>
        <v/>
      </c>
      <c r="N121" t="s">
        <v>217</v>
      </c>
    </row>
    <row r="122" spans="8:14">
      <c r="H122" t="str">
        <f t="shared" si="11"/>
        <v/>
      </c>
      <c r="I122" t="str">
        <f t="shared" si="12"/>
        <v/>
      </c>
      <c r="J122" t="s">
        <v>218</v>
      </c>
      <c r="L122" t="str">
        <f t="shared" si="13"/>
        <v/>
      </c>
      <c r="M122" t="str">
        <f t="shared" si="14"/>
        <v/>
      </c>
      <c r="N122" t="s">
        <v>218</v>
      </c>
    </row>
    <row r="123" spans="8:14">
      <c r="H123" t="str">
        <f t="shared" si="11"/>
        <v/>
      </c>
      <c r="I123" t="str">
        <f t="shared" si="12"/>
        <v/>
      </c>
      <c r="J123" t="s">
        <v>219</v>
      </c>
      <c r="L123" t="str">
        <f t="shared" si="13"/>
        <v/>
      </c>
      <c r="M123" t="str">
        <f t="shared" si="14"/>
        <v/>
      </c>
      <c r="N123" t="s">
        <v>219</v>
      </c>
    </row>
    <row r="124" spans="8:14">
      <c r="H124" t="str">
        <f t="shared" si="11"/>
        <v/>
      </c>
      <c r="I124" t="str">
        <f t="shared" si="12"/>
        <v/>
      </c>
      <c r="J124" t="s">
        <v>220</v>
      </c>
      <c r="L124" t="str">
        <f t="shared" si="13"/>
        <v/>
      </c>
      <c r="M124" t="str">
        <f t="shared" si="14"/>
        <v/>
      </c>
      <c r="N124" t="s">
        <v>220</v>
      </c>
    </row>
    <row r="125" spans="8:14">
      <c r="H125" t="str">
        <f t="shared" si="11"/>
        <v/>
      </c>
      <c r="I125" t="str">
        <f t="shared" si="12"/>
        <v/>
      </c>
      <c r="J125" t="s">
        <v>221</v>
      </c>
      <c r="L125" t="str">
        <f t="shared" si="13"/>
        <v/>
      </c>
      <c r="M125" t="str">
        <f t="shared" si="14"/>
        <v/>
      </c>
      <c r="N125" t="s">
        <v>221</v>
      </c>
    </row>
    <row r="126" spans="8:14">
      <c r="H126" t="str">
        <f t="shared" si="11"/>
        <v/>
      </c>
      <c r="I126" t="str">
        <f t="shared" si="12"/>
        <v/>
      </c>
      <c r="J126" t="s">
        <v>222</v>
      </c>
      <c r="L126" t="str">
        <f t="shared" si="13"/>
        <v/>
      </c>
      <c r="M126" t="str">
        <f t="shared" si="14"/>
        <v/>
      </c>
      <c r="N126" t="s">
        <v>222</v>
      </c>
    </row>
    <row r="127" spans="8:14">
      <c r="H127" t="str">
        <f t="shared" si="11"/>
        <v/>
      </c>
      <c r="I127" t="str">
        <f t="shared" si="12"/>
        <v/>
      </c>
      <c r="J127" t="s">
        <v>223</v>
      </c>
      <c r="L127" t="str">
        <f t="shared" si="13"/>
        <v/>
      </c>
      <c r="M127" t="str">
        <f t="shared" si="14"/>
        <v/>
      </c>
      <c r="N127" t="s">
        <v>223</v>
      </c>
    </row>
    <row r="128" spans="8:14">
      <c r="H128" t="str">
        <f t="shared" si="11"/>
        <v/>
      </c>
      <c r="I128" t="str">
        <f t="shared" si="12"/>
        <v/>
      </c>
      <c r="J128" t="s">
        <v>224</v>
      </c>
      <c r="L128" t="str">
        <f t="shared" si="13"/>
        <v/>
      </c>
      <c r="M128" t="str">
        <f t="shared" si="14"/>
        <v/>
      </c>
      <c r="N128" t="s">
        <v>224</v>
      </c>
    </row>
    <row r="129" spans="8:14">
      <c r="H129" t="str">
        <f t="shared" si="11"/>
        <v/>
      </c>
      <c r="I129" t="str">
        <f t="shared" si="12"/>
        <v/>
      </c>
      <c r="J129" t="s">
        <v>225</v>
      </c>
      <c r="L129" t="str">
        <f t="shared" si="13"/>
        <v/>
      </c>
      <c r="M129" t="str">
        <f t="shared" si="14"/>
        <v/>
      </c>
      <c r="N129" t="s">
        <v>225</v>
      </c>
    </row>
    <row r="130" spans="8:14">
      <c r="H130" t="str">
        <f t="shared" si="11"/>
        <v/>
      </c>
      <c r="I130" t="str">
        <f t="shared" si="12"/>
        <v/>
      </c>
      <c r="J130" t="s">
        <v>226</v>
      </c>
      <c r="L130" t="str">
        <f t="shared" si="13"/>
        <v/>
      </c>
      <c r="M130" t="str">
        <f t="shared" si="14"/>
        <v/>
      </c>
      <c r="N130" t="s">
        <v>226</v>
      </c>
    </row>
    <row r="131" spans="8:14">
      <c r="H131" t="str">
        <f t="shared" ref="H131:H194" si="15">MID(変換元フォルダ,ROW()-1,1)</f>
        <v/>
      </c>
      <c r="I131" t="str">
        <f t="shared" ref="I131:I194" si="16">IFERROR(IF(_xlfn.UNICODE($H131)&lt;4096,IF($H131="\","/",$H131),"\u"&amp;LOWER(DEC2HEX(_xlfn.UNICODE($H131)))),"")</f>
        <v/>
      </c>
      <c r="J131" t="s">
        <v>227</v>
      </c>
      <c r="L131" t="str">
        <f t="shared" ref="L131:L194" si="17">MID(変換先フォルダ,ROW()-1,1)</f>
        <v/>
      </c>
      <c r="M131" t="str">
        <f t="shared" ref="M131:M194" si="18">IFERROR(IF(_xlfn.UNICODE($L131)&lt;4096,IF($L131="\","/",$L131),"\u"&amp;LOWER(DEC2HEX(_xlfn.UNICODE($L131)))),"")</f>
        <v/>
      </c>
      <c r="N131" t="s">
        <v>227</v>
      </c>
    </row>
    <row r="132" spans="8:14">
      <c r="H132" t="str">
        <f t="shared" si="15"/>
        <v/>
      </c>
      <c r="I132" t="str">
        <f t="shared" si="16"/>
        <v/>
      </c>
      <c r="J132" t="s">
        <v>228</v>
      </c>
      <c r="L132" t="str">
        <f t="shared" si="17"/>
        <v/>
      </c>
      <c r="M132" t="str">
        <f t="shared" si="18"/>
        <v/>
      </c>
      <c r="N132" t="s">
        <v>228</v>
      </c>
    </row>
    <row r="133" spans="8:14">
      <c r="H133" t="str">
        <f t="shared" si="15"/>
        <v/>
      </c>
      <c r="I133" t="str">
        <f t="shared" si="16"/>
        <v/>
      </c>
      <c r="J133" t="s">
        <v>229</v>
      </c>
      <c r="L133" t="str">
        <f t="shared" si="17"/>
        <v/>
      </c>
      <c r="M133" t="str">
        <f t="shared" si="18"/>
        <v/>
      </c>
      <c r="N133" t="s">
        <v>229</v>
      </c>
    </row>
    <row r="134" spans="8:14">
      <c r="H134" t="str">
        <f t="shared" si="15"/>
        <v/>
      </c>
      <c r="I134" t="str">
        <f t="shared" si="16"/>
        <v/>
      </c>
      <c r="J134" t="s">
        <v>230</v>
      </c>
      <c r="L134" t="str">
        <f t="shared" si="17"/>
        <v/>
      </c>
      <c r="M134" t="str">
        <f t="shared" si="18"/>
        <v/>
      </c>
      <c r="N134" t="s">
        <v>230</v>
      </c>
    </row>
    <row r="135" spans="8:14">
      <c r="H135" t="str">
        <f t="shared" si="15"/>
        <v/>
      </c>
      <c r="I135" t="str">
        <f t="shared" si="16"/>
        <v/>
      </c>
      <c r="J135" t="s">
        <v>231</v>
      </c>
      <c r="L135" t="str">
        <f t="shared" si="17"/>
        <v/>
      </c>
      <c r="M135" t="str">
        <f t="shared" si="18"/>
        <v/>
      </c>
      <c r="N135" t="s">
        <v>231</v>
      </c>
    </row>
    <row r="136" spans="8:14">
      <c r="H136" t="str">
        <f t="shared" si="15"/>
        <v/>
      </c>
      <c r="I136" t="str">
        <f t="shared" si="16"/>
        <v/>
      </c>
      <c r="J136" t="s">
        <v>232</v>
      </c>
      <c r="L136" t="str">
        <f t="shared" si="17"/>
        <v/>
      </c>
      <c r="M136" t="str">
        <f t="shared" si="18"/>
        <v/>
      </c>
      <c r="N136" t="s">
        <v>232</v>
      </c>
    </row>
    <row r="137" spans="8:14">
      <c r="H137" t="str">
        <f t="shared" si="15"/>
        <v/>
      </c>
      <c r="I137" t="str">
        <f t="shared" si="16"/>
        <v/>
      </c>
      <c r="J137" t="s">
        <v>233</v>
      </c>
      <c r="L137" t="str">
        <f t="shared" si="17"/>
        <v/>
      </c>
      <c r="M137" t="str">
        <f t="shared" si="18"/>
        <v/>
      </c>
      <c r="N137" t="s">
        <v>233</v>
      </c>
    </row>
    <row r="138" spans="8:14">
      <c r="H138" t="str">
        <f t="shared" si="15"/>
        <v/>
      </c>
      <c r="I138" t="str">
        <f t="shared" si="16"/>
        <v/>
      </c>
      <c r="J138" t="s">
        <v>234</v>
      </c>
      <c r="L138" t="str">
        <f t="shared" si="17"/>
        <v/>
      </c>
      <c r="M138" t="str">
        <f t="shared" si="18"/>
        <v/>
      </c>
      <c r="N138" t="s">
        <v>234</v>
      </c>
    </row>
    <row r="139" spans="8:14">
      <c r="H139" t="str">
        <f t="shared" si="15"/>
        <v/>
      </c>
      <c r="I139" t="str">
        <f t="shared" si="16"/>
        <v/>
      </c>
      <c r="J139" t="s">
        <v>235</v>
      </c>
      <c r="L139" t="str">
        <f t="shared" si="17"/>
        <v/>
      </c>
      <c r="M139" t="str">
        <f t="shared" si="18"/>
        <v/>
      </c>
      <c r="N139" t="s">
        <v>235</v>
      </c>
    </row>
    <row r="140" spans="8:14">
      <c r="H140" t="str">
        <f t="shared" si="15"/>
        <v/>
      </c>
      <c r="I140" t="str">
        <f t="shared" si="16"/>
        <v/>
      </c>
      <c r="J140" t="s">
        <v>236</v>
      </c>
      <c r="L140" t="str">
        <f t="shared" si="17"/>
        <v/>
      </c>
      <c r="M140" t="str">
        <f t="shared" si="18"/>
        <v/>
      </c>
      <c r="N140" t="s">
        <v>236</v>
      </c>
    </row>
    <row r="141" spans="8:14">
      <c r="H141" t="str">
        <f t="shared" si="15"/>
        <v/>
      </c>
      <c r="I141" t="str">
        <f t="shared" si="16"/>
        <v/>
      </c>
      <c r="J141" t="s">
        <v>237</v>
      </c>
      <c r="L141" t="str">
        <f t="shared" si="17"/>
        <v/>
      </c>
      <c r="M141" t="str">
        <f t="shared" si="18"/>
        <v/>
      </c>
      <c r="N141" t="s">
        <v>237</v>
      </c>
    </row>
    <row r="142" spans="8:14">
      <c r="H142" t="str">
        <f t="shared" si="15"/>
        <v/>
      </c>
      <c r="I142" t="str">
        <f t="shared" si="16"/>
        <v/>
      </c>
      <c r="J142" t="s">
        <v>238</v>
      </c>
      <c r="L142" t="str">
        <f t="shared" si="17"/>
        <v/>
      </c>
      <c r="M142" t="str">
        <f t="shared" si="18"/>
        <v/>
      </c>
      <c r="N142" t="s">
        <v>238</v>
      </c>
    </row>
    <row r="143" spans="8:14">
      <c r="H143" t="str">
        <f t="shared" si="15"/>
        <v/>
      </c>
      <c r="I143" t="str">
        <f t="shared" si="16"/>
        <v/>
      </c>
      <c r="J143" t="s">
        <v>239</v>
      </c>
      <c r="L143" t="str">
        <f t="shared" si="17"/>
        <v/>
      </c>
      <c r="M143" t="str">
        <f t="shared" si="18"/>
        <v/>
      </c>
      <c r="N143" t="s">
        <v>239</v>
      </c>
    </row>
    <row r="144" spans="8:14">
      <c r="H144" t="str">
        <f t="shared" si="15"/>
        <v/>
      </c>
      <c r="I144" t="str">
        <f t="shared" si="16"/>
        <v/>
      </c>
      <c r="J144" t="s">
        <v>240</v>
      </c>
      <c r="L144" t="str">
        <f t="shared" si="17"/>
        <v/>
      </c>
      <c r="M144" t="str">
        <f t="shared" si="18"/>
        <v/>
      </c>
      <c r="N144" t="s">
        <v>240</v>
      </c>
    </row>
    <row r="145" spans="8:14">
      <c r="H145" t="str">
        <f t="shared" si="15"/>
        <v/>
      </c>
      <c r="I145" t="str">
        <f t="shared" si="16"/>
        <v/>
      </c>
      <c r="J145" t="s">
        <v>241</v>
      </c>
      <c r="L145" t="str">
        <f t="shared" si="17"/>
        <v/>
      </c>
      <c r="M145" t="str">
        <f t="shared" si="18"/>
        <v/>
      </c>
      <c r="N145" t="s">
        <v>241</v>
      </c>
    </row>
    <row r="146" spans="8:14">
      <c r="H146" t="str">
        <f t="shared" si="15"/>
        <v/>
      </c>
      <c r="I146" t="str">
        <f t="shared" si="16"/>
        <v/>
      </c>
      <c r="J146" t="s">
        <v>242</v>
      </c>
      <c r="L146" t="str">
        <f t="shared" si="17"/>
        <v/>
      </c>
      <c r="M146" t="str">
        <f t="shared" si="18"/>
        <v/>
      </c>
      <c r="N146" t="s">
        <v>242</v>
      </c>
    </row>
    <row r="147" spans="8:14">
      <c r="H147" t="str">
        <f t="shared" si="15"/>
        <v/>
      </c>
      <c r="I147" t="str">
        <f t="shared" si="16"/>
        <v/>
      </c>
      <c r="J147" t="s">
        <v>243</v>
      </c>
      <c r="L147" t="str">
        <f t="shared" si="17"/>
        <v/>
      </c>
      <c r="M147" t="str">
        <f t="shared" si="18"/>
        <v/>
      </c>
      <c r="N147" t="s">
        <v>243</v>
      </c>
    </row>
    <row r="148" spans="8:14">
      <c r="H148" t="str">
        <f t="shared" si="15"/>
        <v/>
      </c>
      <c r="I148" t="str">
        <f t="shared" si="16"/>
        <v/>
      </c>
      <c r="J148" t="s">
        <v>244</v>
      </c>
      <c r="L148" t="str">
        <f t="shared" si="17"/>
        <v/>
      </c>
      <c r="M148" t="str">
        <f t="shared" si="18"/>
        <v/>
      </c>
      <c r="N148" t="s">
        <v>244</v>
      </c>
    </row>
    <row r="149" spans="8:14">
      <c r="H149" t="str">
        <f t="shared" si="15"/>
        <v/>
      </c>
      <c r="I149" t="str">
        <f t="shared" si="16"/>
        <v/>
      </c>
      <c r="J149" t="s">
        <v>245</v>
      </c>
      <c r="L149" t="str">
        <f t="shared" si="17"/>
        <v/>
      </c>
      <c r="M149" t="str">
        <f t="shared" si="18"/>
        <v/>
      </c>
      <c r="N149" t="s">
        <v>245</v>
      </c>
    </row>
    <row r="150" spans="8:14">
      <c r="H150" t="str">
        <f t="shared" si="15"/>
        <v/>
      </c>
      <c r="I150" t="str">
        <f t="shared" si="16"/>
        <v/>
      </c>
      <c r="J150" t="s">
        <v>246</v>
      </c>
      <c r="L150" t="str">
        <f t="shared" si="17"/>
        <v/>
      </c>
      <c r="M150" t="str">
        <f t="shared" si="18"/>
        <v/>
      </c>
      <c r="N150" t="s">
        <v>246</v>
      </c>
    </row>
    <row r="151" spans="8:14">
      <c r="H151" t="str">
        <f t="shared" si="15"/>
        <v/>
      </c>
      <c r="I151" t="str">
        <f t="shared" si="16"/>
        <v/>
      </c>
      <c r="J151" t="s">
        <v>247</v>
      </c>
      <c r="L151" t="str">
        <f t="shared" si="17"/>
        <v/>
      </c>
      <c r="M151" t="str">
        <f t="shared" si="18"/>
        <v/>
      </c>
      <c r="N151" t="s">
        <v>247</v>
      </c>
    </row>
    <row r="152" spans="8:14">
      <c r="H152" t="str">
        <f t="shared" si="15"/>
        <v/>
      </c>
      <c r="I152" t="str">
        <f t="shared" si="16"/>
        <v/>
      </c>
      <c r="J152" t="s">
        <v>248</v>
      </c>
      <c r="L152" t="str">
        <f t="shared" si="17"/>
        <v/>
      </c>
      <c r="M152" t="str">
        <f t="shared" si="18"/>
        <v/>
      </c>
      <c r="N152" t="s">
        <v>248</v>
      </c>
    </row>
    <row r="153" spans="8:14">
      <c r="H153" t="str">
        <f t="shared" si="15"/>
        <v/>
      </c>
      <c r="I153" t="str">
        <f t="shared" si="16"/>
        <v/>
      </c>
      <c r="J153" t="s">
        <v>249</v>
      </c>
      <c r="L153" t="str">
        <f t="shared" si="17"/>
        <v/>
      </c>
      <c r="M153" t="str">
        <f t="shared" si="18"/>
        <v/>
      </c>
      <c r="N153" t="s">
        <v>249</v>
      </c>
    </row>
    <row r="154" spans="8:14">
      <c r="H154" t="str">
        <f t="shared" si="15"/>
        <v/>
      </c>
      <c r="I154" t="str">
        <f t="shared" si="16"/>
        <v/>
      </c>
      <c r="J154" t="s">
        <v>250</v>
      </c>
      <c r="L154" t="str">
        <f t="shared" si="17"/>
        <v/>
      </c>
      <c r="M154" t="str">
        <f t="shared" si="18"/>
        <v/>
      </c>
      <c r="N154" t="s">
        <v>250</v>
      </c>
    </row>
    <row r="155" spans="8:14">
      <c r="H155" t="str">
        <f t="shared" si="15"/>
        <v/>
      </c>
      <c r="I155" t="str">
        <f t="shared" si="16"/>
        <v/>
      </c>
      <c r="J155" t="s">
        <v>251</v>
      </c>
      <c r="L155" t="str">
        <f t="shared" si="17"/>
        <v/>
      </c>
      <c r="M155" t="str">
        <f t="shared" si="18"/>
        <v/>
      </c>
      <c r="N155" t="s">
        <v>251</v>
      </c>
    </row>
    <row r="156" spans="8:14">
      <c r="H156" t="str">
        <f t="shared" si="15"/>
        <v/>
      </c>
      <c r="I156" t="str">
        <f t="shared" si="16"/>
        <v/>
      </c>
      <c r="J156" t="s">
        <v>252</v>
      </c>
      <c r="L156" t="str">
        <f t="shared" si="17"/>
        <v/>
      </c>
      <c r="M156" t="str">
        <f t="shared" si="18"/>
        <v/>
      </c>
      <c r="N156" t="s">
        <v>252</v>
      </c>
    </row>
    <row r="157" spans="8:14">
      <c r="H157" t="str">
        <f t="shared" si="15"/>
        <v/>
      </c>
      <c r="I157" t="str">
        <f t="shared" si="16"/>
        <v/>
      </c>
      <c r="J157" t="s">
        <v>253</v>
      </c>
      <c r="L157" t="str">
        <f t="shared" si="17"/>
        <v/>
      </c>
      <c r="M157" t="str">
        <f t="shared" si="18"/>
        <v/>
      </c>
      <c r="N157" t="s">
        <v>253</v>
      </c>
    </row>
    <row r="158" spans="8:14">
      <c r="H158" t="str">
        <f t="shared" si="15"/>
        <v/>
      </c>
      <c r="I158" t="str">
        <f t="shared" si="16"/>
        <v/>
      </c>
      <c r="J158" t="s">
        <v>254</v>
      </c>
      <c r="L158" t="str">
        <f t="shared" si="17"/>
        <v/>
      </c>
      <c r="M158" t="str">
        <f t="shared" si="18"/>
        <v/>
      </c>
      <c r="N158" t="s">
        <v>254</v>
      </c>
    </row>
    <row r="159" spans="8:14">
      <c r="H159" t="str">
        <f t="shared" si="15"/>
        <v/>
      </c>
      <c r="I159" t="str">
        <f t="shared" si="16"/>
        <v/>
      </c>
      <c r="J159" t="s">
        <v>255</v>
      </c>
      <c r="L159" t="str">
        <f t="shared" si="17"/>
        <v/>
      </c>
      <c r="M159" t="str">
        <f t="shared" si="18"/>
        <v/>
      </c>
      <c r="N159" t="s">
        <v>255</v>
      </c>
    </row>
    <row r="160" spans="8:14">
      <c r="H160" t="str">
        <f t="shared" si="15"/>
        <v/>
      </c>
      <c r="I160" t="str">
        <f t="shared" si="16"/>
        <v/>
      </c>
      <c r="J160" t="s">
        <v>256</v>
      </c>
      <c r="L160" t="str">
        <f t="shared" si="17"/>
        <v/>
      </c>
      <c r="M160" t="str">
        <f t="shared" si="18"/>
        <v/>
      </c>
      <c r="N160" t="s">
        <v>256</v>
      </c>
    </row>
    <row r="161" spans="8:14">
      <c r="H161" t="str">
        <f t="shared" si="15"/>
        <v/>
      </c>
      <c r="I161" t="str">
        <f t="shared" si="16"/>
        <v/>
      </c>
      <c r="J161" t="s">
        <v>257</v>
      </c>
      <c r="L161" t="str">
        <f t="shared" si="17"/>
        <v/>
      </c>
      <c r="M161" t="str">
        <f t="shared" si="18"/>
        <v/>
      </c>
      <c r="N161" t="s">
        <v>257</v>
      </c>
    </row>
    <row r="162" spans="8:14">
      <c r="H162" t="str">
        <f t="shared" si="15"/>
        <v/>
      </c>
      <c r="I162" t="str">
        <f t="shared" si="16"/>
        <v/>
      </c>
      <c r="J162" t="s">
        <v>258</v>
      </c>
      <c r="L162" t="str">
        <f t="shared" si="17"/>
        <v/>
      </c>
      <c r="M162" t="str">
        <f t="shared" si="18"/>
        <v/>
      </c>
      <c r="N162" t="s">
        <v>258</v>
      </c>
    </row>
    <row r="163" spans="8:14">
      <c r="H163" t="str">
        <f t="shared" si="15"/>
        <v/>
      </c>
      <c r="I163" t="str">
        <f t="shared" si="16"/>
        <v/>
      </c>
      <c r="J163" t="s">
        <v>259</v>
      </c>
      <c r="L163" t="str">
        <f t="shared" si="17"/>
        <v/>
      </c>
      <c r="M163" t="str">
        <f t="shared" si="18"/>
        <v/>
      </c>
      <c r="N163" t="s">
        <v>259</v>
      </c>
    </row>
    <row r="164" spans="8:14">
      <c r="H164" t="str">
        <f t="shared" si="15"/>
        <v/>
      </c>
      <c r="I164" t="str">
        <f t="shared" si="16"/>
        <v/>
      </c>
      <c r="J164" t="s">
        <v>260</v>
      </c>
      <c r="L164" t="str">
        <f t="shared" si="17"/>
        <v/>
      </c>
      <c r="M164" t="str">
        <f t="shared" si="18"/>
        <v/>
      </c>
      <c r="N164" t="s">
        <v>260</v>
      </c>
    </row>
    <row r="165" spans="8:14">
      <c r="H165" t="str">
        <f t="shared" si="15"/>
        <v/>
      </c>
      <c r="I165" t="str">
        <f t="shared" si="16"/>
        <v/>
      </c>
      <c r="J165" t="s">
        <v>261</v>
      </c>
      <c r="L165" t="str">
        <f t="shared" si="17"/>
        <v/>
      </c>
      <c r="M165" t="str">
        <f t="shared" si="18"/>
        <v/>
      </c>
      <c r="N165" t="s">
        <v>261</v>
      </c>
    </row>
    <row r="166" spans="8:14">
      <c r="H166" t="str">
        <f t="shared" si="15"/>
        <v/>
      </c>
      <c r="I166" t="str">
        <f t="shared" si="16"/>
        <v/>
      </c>
      <c r="J166" t="s">
        <v>262</v>
      </c>
      <c r="L166" t="str">
        <f t="shared" si="17"/>
        <v/>
      </c>
      <c r="M166" t="str">
        <f t="shared" si="18"/>
        <v/>
      </c>
      <c r="N166" t="s">
        <v>262</v>
      </c>
    </row>
    <row r="167" spans="8:14">
      <c r="H167" t="str">
        <f t="shared" si="15"/>
        <v/>
      </c>
      <c r="I167" t="str">
        <f t="shared" si="16"/>
        <v/>
      </c>
      <c r="J167" t="s">
        <v>263</v>
      </c>
      <c r="L167" t="str">
        <f t="shared" si="17"/>
        <v/>
      </c>
      <c r="M167" t="str">
        <f t="shared" si="18"/>
        <v/>
      </c>
      <c r="N167" t="s">
        <v>263</v>
      </c>
    </row>
    <row r="168" spans="8:14">
      <c r="H168" t="str">
        <f t="shared" si="15"/>
        <v/>
      </c>
      <c r="I168" t="str">
        <f t="shared" si="16"/>
        <v/>
      </c>
      <c r="J168" t="s">
        <v>264</v>
      </c>
      <c r="L168" t="str">
        <f t="shared" si="17"/>
        <v/>
      </c>
      <c r="M168" t="str">
        <f t="shared" si="18"/>
        <v/>
      </c>
      <c r="N168" t="s">
        <v>264</v>
      </c>
    </row>
    <row r="169" spans="8:14">
      <c r="H169" t="str">
        <f t="shared" si="15"/>
        <v/>
      </c>
      <c r="I169" t="str">
        <f t="shared" si="16"/>
        <v/>
      </c>
      <c r="J169" t="s">
        <v>265</v>
      </c>
      <c r="L169" t="str">
        <f t="shared" si="17"/>
        <v/>
      </c>
      <c r="M169" t="str">
        <f t="shared" si="18"/>
        <v/>
      </c>
      <c r="N169" t="s">
        <v>265</v>
      </c>
    </row>
    <row r="170" spans="8:14">
      <c r="H170" t="str">
        <f t="shared" si="15"/>
        <v/>
      </c>
      <c r="I170" t="str">
        <f t="shared" si="16"/>
        <v/>
      </c>
      <c r="J170" t="s">
        <v>266</v>
      </c>
      <c r="L170" t="str">
        <f t="shared" si="17"/>
        <v/>
      </c>
      <c r="M170" t="str">
        <f t="shared" si="18"/>
        <v/>
      </c>
      <c r="N170" t="s">
        <v>266</v>
      </c>
    </row>
    <row r="171" spans="8:14">
      <c r="H171" t="str">
        <f t="shared" si="15"/>
        <v/>
      </c>
      <c r="I171" t="str">
        <f t="shared" si="16"/>
        <v/>
      </c>
      <c r="J171" t="s">
        <v>267</v>
      </c>
      <c r="L171" t="str">
        <f t="shared" si="17"/>
        <v/>
      </c>
      <c r="M171" t="str">
        <f t="shared" si="18"/>
        <v/>
      </c>
      <c r="N171" t="s">
        <v>267</v>
      </c>
    </row>
    <row r="172" spans="8:14">
      <c r="H172" t="str">
        <f t="shared" si="15"/>
        <v/>
      </c>
      <c r="I172" t="str">
        <f t="shared" si="16"/>
        <v/>
      </c>
      <c r="J172" t="s">
        <v>268</v>
      </c>
      <c r="L172" t="str">
        <f t="shared" si="17"/>
        <v/>
      </c>
      <c r="M172" t="str">
        <f t="shared" si="18"/>
        <v/>
      </c>
      <c r="N172" t="s">
        <v>268</v>
      </c>
    </row>
    <row r="173" spans="8:14">
      <c r="H173" t="str">
        <f t="shared" si="15"/>
        <v/>
      </c>
      <c r="I173" t="str">
        <f t="shared" si="16"/>
        <v/>
      </c>
      <c r="J173" t="s">
        <v>269</v>
      </c>
      <c r="L173" t="str">
        <f t="shared" si="17"/>
        <v/>
      </c>
      <c r="M173" t="str">
        <f t="shared" si="18"/>
        <v/>
      </c>
      <c r="N173" t="s">
        <v>269</v>
      </c>
    </row>
    <row r="174" spans="8:14">
      <c r="H174" t="str">
        <f t="shared" si="15"/>
        <v/>
      </c>
      <c r="I174" t="str">
        <f t="shared" si="16"/>
        <v/>
      </c>
      <c r="J174" t="s">
        <v>270</v>
      </c>
      <c r="L174" t="str">
        <f t="shared" si="17"/>
        <v/>
      </c>
      <c r="M174" t="str">
        <f t="shared" si="18"/>
        <v/>
      </c>
      <c r="N174" t="s">
        <v>270</v>
      </c>
    </row>
    <row r="175" spans="8:14">
      <c r="H175" t="str">
        <f t="shared" si="15"/>
        <v/>
      </c>
      <c r="I175" t="str">
        <f t="shared" si="16"/>
        <v/>
      </c>
      <c r="J175" t="s">
        <v>271</v>
      </c>
      <c r="L175" t="str">
        <f t="shared" si="17"/>
        <v/>
      </c>
      <c r="M175" t="str">
        <f t="shared" si="18"/>
        <v/>
      </c>
      <c r="N175" t="s">
        <v>271</v>
      </c>
    </row>
    <row r="176" spans="8:14">
      <c r="H176" t="str">
        <f t="shared" si="15"/>
        <v/>
      </c>
      <c r="I176" t="str">
        <f t="shared" si="16"/>
        <v/>
      </c>
      <c r="J176" t="s">
        <v>272</v>
      </c>
      <c r="L176" t="str">
        <f t="shared" si="17"/>
        <v/>
      </c>
      <c r="M176" t="str">
        <f t="shared" si="18"/>
        <v/>
      </c>
      <c r="N176" t="s">
        <v>272</v>
      </c>
    </row>
    <row r="177" spans="8:14">
      <c r="H177" t="str">
        <f t="shared" si="15"/>
        <v/>
      </c>
      <c r="I177" t="str">
        <f t="shared" si="16"/>
        <v/>
      </c>
      <c r="J177" t="s">
        <v>273</v>
      </c>
      <c r="L177" t="str">
        <f t="shared" si="17"/>
        <v/>
      </c>
      <c r="M177" t="str">
        <f t="shared" si="18"/>
        <v/>
      </c>
      <c r="N177" t="s">
        <v>273</v>
      </c>
    </row>
    <row r="178" spans="8:14">
      <c r="H178" t="str">
        <f t="shared" si="15"/>
        <v/>
      </c>
      <c r="I178" t="str">
        <f t="shared" si="16"/>
        <v/>
      </c>
      <c r="J178" t="s">
        <v>274</v>
      </c>
      <c r="L178" t="str">
        <f t="shared" si="17"/>
        <v/>
      </c>
      <c r="M178" t="str">
        <f t="shared" si="18"/>
        <v/>
      </c>
      <c r="N178" t="s">
        <v>274</v>
      </c>
    </row>
    <row r="179" spans="8:14">
      <c r="H179" t="str">
        <f t="shared" si="15"/>
        <v/>
      </c>
      <c r="I179" t="str">
        <f t="shared" si="16"/>
        <v/>
      </c>
      <c r="J179" t="s">
        <v>275</v>
      </c>
      <c r="L179" t="str">
        <f t="shared" si="17"/>
        <v/>
      </c>
      <c r="M179" t="str">
        <f t="shared" si="18"/>
        <v/>
      </c>
      <c r="N179" t="s">
        <v>275</v>
      </c>
    </row>
    <row r="180" spans="8:14">
      <c r="H180" t="str">
        <f t="shared" si="15"/>
        <v/>
      </c>
      <c r="I180" t="str">
        <f t="shared" si="16"/>
        <v/>
      </c>
      <c r="J180" t="s">
        <v>276</v>
      </c>
      <c r="L180" t="str">
        <f t="shared" si="17"/>
        <v/>
      </c>
      <c r="M180" t="str">
        <f t="shared" si="18"/>
        <v/>
      </c>
      <c r="N180" t="s">
        <v>276</v>
      </c>
    </row>
    <row r="181" spans="8:14">
      <c r="H181" t="str">
        <f t="shared" si="15"/>
        <v/>
      </c>
      <c r="I181" t="str">
        <f t="shared" si="16"/>
        <v/>
      </c>
      <c r="J181" t="s">
        <v>277</v>
      </c>
      <c r="L181" t="str">
        <f t="shared" si="17"/>
        <v/>
      </c>
      <c r="M181" t="str">
        <f t="shared" si="18"/>
        <v/>
      </c>
      <c r="N181" t="s">
        <v>277</v>
      </c>
    </row>
    <row r="182" spans="8:14">
      <c r="H182" t="str">
        <f t="shared" si="15"/>
        <v/>
      </c>
      <c r="I182" t="str">
        <f t="shared" si="16"/>
        <v/>
      </c>
      <c r="J182" t="s">
        <v>278</v>
      </c>
      <c r="L182" t="str">
        <f t="shared" si="17"/>
        <v/>
      </c>
      <c r="M182" t="str">
        <f t="shared" si="18"/>
        <v/>
      </c>
      <c r="N182" t="s">
        <v>278</v>
      </c>
    </row>
    <row r="183" spans="8:14">
      <c r="H183" t="str">
        <f t="shared" si="15"/>
        <v/>
      </c>
      <c r="I183" t="str">
        <f t="shared" si="16"/>
        <v/>
      </c>
      <c r="J183" t="s">
        <v>279</v>
      </c>
      <c r="L183" t="str">
        <f t="shared" si="17"/>
        <v/>
      </c>
      <c r="M183" t="str">
        <f t="shared" si="18"/>
        <v/>
      </c>
      <c r="N183" t="s">
        <v>279</v>
      </c>
    </row>
    <row r="184" spans="8:14">
      <c r="H184" t="str">
        <f t="shared" si="15"/>
        <v/>
      </c>
      <c r="I184" t="str">
        <f t="shared" si="16"/>
        <v/>
      </c>
      <c r="J184" t="s">
        <v>280</v>
      </c>
      <c r="L184" t="str">
        <f t="shared" si="17"/>
        <v/>
      </c>
      <c r="M184" t="str">
        <f t="shared" si="18"/>
        <v/>
      </c>
      <c r="N184" t="s">
        <v>280</v>
      </c>
    </row>
    <row r="185" spans="8:14">
      <c r="H185" t="str">
        <f t="shared" si="15"/>
        <v/>
      </c>
      <c r="I185" t="str">
        <f t="shared" si="16"/>
        <v/>
      </c>
      <c r="J185" t="s">
        <v>281</v>
      </c>
      <c r="L185" t="str">
        <f t="shared" si="17"/>
        <v/>
      </c>
      <c r="M185" t="str">
        <f t="shared" si="18"/>
        <v/>
      </c>
      <c r="N185" t="s">
        <v>281</v>
      </c>
    </row>
    <row r="186" spans="8:14">
      <c r="H186" t="str">
        <f t="shared" si="15"/>
        <v/>
      </c>
      <c r="I186" t="str">
        <f t="shared" si="16"/>
        <v/>
      </c>
      <c r="J186" t="s">
        <v>282</v>
      </c>
      <c r="L186" t="str">
        <f t="shared" si="17"/>
        <v/>
      </c>
      <c r="M186" t="str">
        <f t="shared" si="18"/>
        <v/>
      </c>
      <c r="N186" t="s">
        <v>282</v>
      </c>
    </row>
    <row r="187" spans="8:14">
      <c r="H187" t="str">
        <f t="shared" si="15"/>
        <v/>
      </c>
      <c r="I187" t="str">
        <f t="shared" si="16"/>
        <v/>
      </c>
      <c r="J187" t="s">
        <v>283</v>
      </c>
      <c r="L187" t="str">
        <f t="shared" si="17"/>
        <v/>
      </c>
      <c r="M187" t="str">
        <f t="shared" si="18"/>
        <v/>
      </c>
      <c r="N187" t="s">
        <v>283</v>
      </c>
    </row>
    <row r="188" spans="8:14">
      <c r="H188" t="str">
        <f t="shared" si="15"/>
        <v/>
      </c>
      <c r="I188" t="str">
        <f t="shared" si="16"/>
        <v/>
      </c>
      <c r="J188" t="s">
        <v>284</v>
      </c>
      <c r="L188" t="str">
        <f t="shared" si="17"/>
        <v/>
      </c>
      <c r="M188" t="str">
        <f t="shared" si="18"/>
        <v/>
      </c>
      <c r="N188" t="s">
        <v>284</v>
      </c>
    </row>
    <row r="189" spans="8:14">
      <c r="H189" t="str">
        <f t="shared" si="15"/>
        <v/>
      </c>
      <c r="I189" t="str">
        <f t="shared" si="16"/>
        <v/>
      </c>
      <c r="J189" t="s">
        <v>285</v>
      </c>
      <c r="L189" t="str">
        <f t="shared" si="17"/>
        <v/>
      </c>
      <c r="M189" t="str">
        <f t="shared" si="18"/>
        <v/>
      </c>
      <c r="N189" t="s">
        <v>285</v>
      </c>
    </row>
    <row r="190" spans="8:14">
      <c r="H190" t="str">
        <f t="shared" si="15"/>
        <v/>
      </c>
      <c r="I190" t="str">
        <f t="shared" si="16"/>
        <v/>
      </c>
      <c r="J190" t="s">
        <v>286</v>
      </c>
      <c r="L190" t="str">
        <f t="shared" si="17"/>
        <v/>
      </c>
      <c r="M190" t="str">
        <f t="shared" si="18"/>
        <v/>
      </c>
      <c r="N190" t="s">
        <v>286</v>
      </c>
    </row>
    <row r="191" spans="8:14">
      <c r="H191" t="str">
        <f t="shared" si="15"/>
        <v/>
      </c>
      <c r="I191" t="str">
        <f t="shared" si="16"/>
        <v/>
      </c>
      <c r="J191" t="s">
        <v>287</v>
      </c>
      <c r="L191" t="str">
        <f t="shared" si="17"/>
        <v/>
      </c>
      <c r="M191" t="str">
        <f t="shared" si="18"/>
        <v/>
      </c>
      <c r="N191" t="s">
        <v>287</v>
      </c>
    </row>
    <row r="192" spans="8:14">
      <c r="H192" t="str">
        <f t="shared" si="15"/>
        <v/>
      </c>
      <c r="I192" t="str">
        <f t="shared" si="16"/>
        <v/>
      </c>
      <c r="J192" t="s">
        <v>288</v>
      </c>
      <c r="L192" t="str">
        <f t="shared" si="17"/>
        <v/>
      </c>
      <c r="M192" t="str">
        <f t="shared" si="18"/>
        <v/>
      </c>
      <c r="N192" t="s">
        <v>288</v>
      </c>
    </row>
    <row r="193" spans="8:14">
      <c r="H193" t="str">
        <f t="shared" si="15"/>
        <v/>
      </c>
      <c r="I193" t="str">
        <f t="shared" si="16"/>
        <v/>
      </c>
      <c r="J193" t="s">
        <v>289</v>
      </c>
      <c r="L193" t="str">
        <f t="shared" si="17"/>
        <v/>
      </c>
      <c r="M193" t="str">
        <f t="shared" si="18"/>
        <v/>
      </c>
      <c r="N193" t="s">
        <v>289</v>
      </c>
    </row>
    <row r="194" spans="8:14">
      <c r="H194" t="str">
        <f t="shared" si="15"/>
        <v/>
      </c>
      <c r="I194" t="str">
        <f t="shared" si="16"/>
        <v/>
      </c>
      <c r="J194" t="s">
        <v>290</v>
      </c>
      <c r="L194" t="str">
        <f t="shared" si="17"/>
        <v/>
      </c>
      <c r="M194" t="str">
        <f t="shared" si="18"/>
        <v/>
      </c>
      <c r="N194" t="s">
        <v>290</v>
      </c>
    </row>
    <row r="195" spans="8:14">
      <c r="H195" t="str">
        <f t="shared" ref="H195:H256" si="19">MID(変換元フォルダ,ROW()-1,1)</f>
        <v/>
      </c>
      <c r="I195" t="str">
        <f t="shared" ref="I195:I256" si="20">IFERROR(IF(_xlfn.UNICODE($H195)&lt;4096,IF($H195="\","/",$H195),"\u"&amp;LOWER(DEC2HEX(_xlfn.UNICODE($H195)))),"")</f>
        <v/>
      </c>
      <c r="J195" t="s">
        <v>291</v>
      </c>
      <c r="L195" t="str">
        <f t="shared" ref="L195:L256" si="21">MID(変換先フォルダ,ROW()-1,1)</f>
        <v/>
      </c>
      <c r="M195" t="str">
        <f t="shared" ref="M195:M256" si="22">IFERROR(IF(_xlfn.UNICODE($L195)&lt;4096,IF($L195="\","/",$L195),"\u"&amp;LOWER(DEC2HEX(_xlfn.UNICODE($L195)))),"")</f>
        <v/>
      </c>
      <c r="N195" t="s">
        <v>291</v>
      </c>
    </row>
    <row r="196" spans="8:14">
      <c r="H196" t="str">
        <f t="shared" si="19"/>
        <v/>
      </c>
      <c r="I196" t="str">
        <f t="shared" si="20"/>
        <v/>
      </c>
      <c r="J196" t="s">
        <v>292</v>
      </c>
      <c r="L196" t="str">
        <f t="shared" si="21"/>
        <v/>
      </c>
      <c r="M196" t="str">
        <f t="shared" si="22"/>
        <v/>
      </c>
      <c r="N196" t="s">
        <v>292</v>
      </c>
    </row>
    <row r="197" spans="8:14">
      <c r="H197" t="str">
        <f t="shared" si="19"/>
        <v/>
      </c>
      <c r="I197" t="str">
        <f t="shared" si="20"/>
        <v/>
      </c>
      <c r="J197" t="s">
        <v>293</v>
      </c>
      <c r="L197" t="str">
        <f t="shared" si="21"/>
        <v/>
      </c>
      <c r="M197" t="str">
        <f t="shared" si="22"/>
        <v/>
      </c>
      <c r="N197" t="s">
        <v>293</v>
      </c>
    </row>
    <row r="198" spans="8:14">
      <c r="H198" t="str">
        <f t="shared" si="19"/>
        <v/>
      </c>
      <c r="I198" t="str">
        <f t="shared" si="20"/>
        <v/>
      </c>
      <c r="J198" t="s">
        <v>294</v>
      </c>
      <c r="L198" t="str">
        <f t="shared" si="21"/>
        <v/>
      </c>
      <c r="M198" t="str">
        <f t="shared" si="22"/>
        <v/>
      </c>
      <c r="N198" t="s">
        <v>294</v>
      </c>
    </row>
    <row r="199" spans="8:14">
      <c r="H199" t="str">
        <f t="shared" si="19"/>
        <v/>
      </c>
      <c r="I199" t="str">
        <f t="shared" si="20"/>
        <v/>
      </c>
      <c r="J199" t="s">
        <v>295</v>
      </c>
      <c r="L199" t="str">
        <f t="shared" si="21"/>
        <v/>
      </c>
      <c r="M199" t="str">
        <f t="shared" si="22"/>
        <v/>
      </c>
      <c r="N199" t="s">
        <v>295</v>
      </c>
    </row>
    <row r="200" spans="8:14">
      <c r="H200" t="str">
        <f t="shared" si="19"/>
        <v/>
      </c>
      <c r="I200" t="str">
        <f t="shared" si="20"/>
        <v/>
      </c>
      <c r="J200" t="s">
        <v>296</v>
      </c>
      <c r="L200" t="str">
        <f t="shared" si="21"/>
        <v/>
      </c>
      <c r="M200" t="str">
        <f t="shared" si="22"/>
        <v/>
      </c>
      <c r="N200" t="s">
        <v>296</v>
      </c>
    </row>
    <row r="201" spans="8:14">
      <c r="H201" t="str">
        <f t="shared" si="19"/>
        <v/>
      </c>
      <c r="I201" t="str">
        <f t="shared" si="20"/>
        <v/>
      </c>
      <c r="J201" t="s">
        <v>297</v>
      </c>
      <c r="L201" t="str">
        <f t="shared" si="21"/>
        <v/>
      </c>
      <c r="M201" t="str">
        <f t="shared" si="22"/>
        <v/>
      </c>
      <c r="N201" t="s">
        <v>297</v>
      </c>
    </row>
    <row r="202" spans="8:14">
      <c r="H202" t="str">
        <f t="shared" si="19"/>
        <v/>
      </c>
      <c r="I202" t="str">
        <f t="shared" si="20"/>
        <v/>
      </c>
      <c r="J202" t="s">
        <v>298</v>
      </c>
      <c r="L202" t="str">
        <f t="shared" si="21"/>
        <v/>
      </c>
      <c r="M202" t="str">
        <f t="shared" si="22"/>
        <v/>
      </c>
      <c r="N202" t="s">
        <v>298</v>
      </c>
    </row>
    <row r="203" spans="8:14">
      <c r="H203" t="str">
        <f t="shared" si="19"/>
        <v/>
      </c>
      <c r="I203" t="str">
        <f t="shared" si="20"/>
        <v/>
      </c>
      <c r="J203" t="s">
        <v>299</v>
      </c>
      <c r="L203" t="str">
        <f t="shared" si="21"/>
        <v/>
      </c>
      <c r="M203" t="str">
        <f t="shared" si="22"/>
        <v/>
      </c>
      <c r="N203" t="s">
        <v>299</v>
      </c>
    </row>
    <row r="204" spans="8:14">
      <c r="H204" t="str">
        <f t="shared" si="19"/>
        <v/>
      </c>
      <c r="I204" t="str">
        <f t="shared" si="20"/>
        <v/>
      </c>
      <c r="J204" t="s">
        <v>300</v>
      </c>
      <c r="L204" t="str">
        <f t="shared" si="21"/>
        <v/>
      </c>
      <c r="M204" t="str">
        <f t="shared" si="22"/>
        <v/>
      </c>
      <c r="N204" t="s">
        <v>300</v>
      </c>
    </row>
    <row r="205" spans="8:14">
      <c r="H205" t="str">
        <f t="shared" si="19"/>
        <v/>
      </c>
      <c r="I205" t="str">
        <f t="shared" si="20"/>
        <v/>
      </c>
      <c r="J205" t="s">
        <v>301</v>
      </c>
      <c r="L205" t="str">
        <f t="shared" si="21"/>
        <v/>
      </c>
      <c r="M205" t="str">
        <f t="shared" si="22"/>
        <v/>
      </c>
      <c r="N205" t="s">
        <v>301</v>
      </c>
    </row>
    <row r="206" spans="8:14">
      <c r="H206" t="str">
        <f t="shared" si="19"/>
        <v/>
      </c>
      <c r="I206" t="str">
        <f t="shared" si="20"/>
        <v/>
      </c>
      <c r="J206" t="s">
        <v>302</v>
      </c>
      <c r="L206" t="str">
        <f t="shared" si="21"/>
        <v/>
      </c>
      <c r="M206" t="str">
        <f t="shared" si="22"/>
        <v/>
      </c>
      <c r="N206" t="s">
        <v>302</v>
      </c>
    </row>
    <row r="207" spans="8:14">
      <c r="H207" t="str">
        <f t="shared" si="19"/>
        <v/>
      </c>
      <c r="I207" t="str">
        <f t="shared" si="20"/>
        <v/>
      </c>
      <c r="J207" t="s">
        <v>303</v>
      </c>
      <c r="L207" t="str">
        <f t="shared" si="21"/>
        <v/>
      </c>
      <c r="M207" t="str">
        <f t="shared" si="22"/>
        <v/>
      </c>
      <c r="N207" t="s">
        <v>303</v>
      </c>
    </row>
    <row r="208" spans="8:14">
      <c r="H208" t="str">
        <f t="shared" si="19"/>
        <v/>
      </c>
      <c r="I208" t="str">
        <f t="shared" si="20"/>
        <v/>
      </c>
      <c r="J208" t="s">
        <v>304</v>
      </c>
      <c r="L208" t="str">
        <f t="shared" si="21"/>
        <v/>
      </c>
      <c r="M208" t="str">
        <f t="shared" si="22"/>
        <v/>
      </c>
      <c r="N208" t="s">
        <v>304</v>
      </c>
    </row>
    <row r="209" spans="8:14">
      <c r="H209" t="str">
        <f t="shared" si="19"/>
        <v/>
      </c>
      <c r="I209" t="str">
        <f t="shared" si="20"/>
        <v/>
      </c>
      <c r="J209" t="s">
        <v>305</v>
      </c>
      <c r="L209" t="str">
        <f t="shared" si="21"/>
        <v/>
      </c>
      <c r="M209" t="str">
        <f t="shared" si="22"/>
        <v/>
      </c>
      <c r="N209" t="s">
        <v>305</v>
      </c>
    </row>
    <row r="210" spans="8:14">
      <c r="H210" t="str">
        <f t="shared" si="19"/>
        <v/>
      </c>
      <c r="I210" t="str">
        <f t="shared" si="20"/>
        <v/>
      </c>
      <c r="J210" t="s">
        <v>306</v>
      </c>
      <c r="L210" t="str">
        <f t="shared" si="21"/>
        <v/>
      </c>
      <c r="M210" t="str">
        <f t="shared" si="22"/>
        <v/>
      </c>
      <c r="N210" t="s">
        <v>306</v>
      </c>
    </row>
    <row r="211" spans="8:14">
      <c r="H211" t="str">
        <f t="shared" si="19"/>
        <v/>
      </c>
      <c r="I211" t="str">
        <f t="shared" si="20"/>
        <v/>
      </c>
      <c r="J211" t="s">
        <v>307</v>
      </c>
      <c r="L211" t="str">
        <f t="shared" si="21"/>
        <v/>
      </c>
      <c r="M211" t="str">
        <f t="shared" si="22"/>
        <v/>
      </c>
      <c r="N211" t="s">
        <v>307</v>
      </c>
    </row>
    <row r="212" spans="8:14">
      <c r="H212" t="str">
        <f t="shared" si="19"/>
        <v/>
      </c>
      <c r="I212" t="str">
        <f t="shared" si="20"/>
        <v/>
      </c>
      <c r="J212" t="s">
        <v>308</v>
      </c>
      <c r="L212" t="str">
        <f t="shared" si="21"/>
        <v/>
      </c>
      <c r="M212" t="str">
        <f t="shared" si="22"/>
        <v/>
      </c>
      <c r="N212" t="s">
        <v>308</v>
      </c>
    </row>
    <row r="213" spans="8:14">
      <c r="H213" t="str">
        <f t="shared" si="19"/>
        <v/>
      </c>
      <c r="I213" t="str">
        <f t="shared" si="20"/>
        <v/>
      </c>
      <c r="J213" t="s">
        <v>309</v>
      </c>
      <c r="L213" t="str">
        <f t="shared" si="21"/>
        <v/>
      </c>
      <c r="M213" t="str">
        <f t="shared" si="22"/>
        <v/>
      </c>
      <c r="N213" t="s">
        <v>309</v>
      </c>
    </row>
    <row r="214" spans="8:14">
      <c r="H214" t="str">
        <f t="shared" si="19"/>
        <v/>
      </c>
      <c r="I214" t="str">
        <f t="shared" si="20"/>
        <v/>
      </c>
      <c r="J214" t="s">
        <v>310</v>
      </c>
      <c r="L214" t="str">
        <f t="shared" si="21"/>
        <v/>
      </c>
      <c r="M214" t="str">
        <f t="shared" si="22"/>
        <v/>
      </c>
      <c r="N214" t="s">
        <v>310</v>
      </c>
    </row>
    <row r="215" spans="8:14">
      <c r="H215" t="str">
        <f t="shared" si="19"/>
        <v/>
      </c>
      <c r="I215" t="str">
        <f t="shared" si="20"/>
        <v/>
      </c>
      <c r="J215" t="s">
        <v>311</v>
      </c>
      <c r="L215" t="str">
        <f t="shared" si="21"/>
        <v/>
      </c>
      <c r="M215" t="str">
        <f t="shared" si="22"/>
        <v/>
      </c>
      <c r="N215" t="s">
        <v>311</v>
      </c>
    </row>
    <row r="216" spans="8:14">
      <c r="H216" t="str">
        <f t="shared" si="19"/>
        <v/>
      </c>
      <c r="I216" t="str">
        <f t="shared" si="20"/>
        <v/>
      </c>
      <c r="J216" t="s">
        <v>312</v>
      </c>
      <c r="L216" t="str">
        <f t="shared" si="21"/>
        <v/>
      </c>
      <c r="M216" t="str">
        <f t="shared" si="22"/>
        <v/>
      </c>
      <c r="N216" t="s">
        <v>312</v>
      </c>
    </row>
    <row r="217" spans="8:14">
      <c r="H217" t="str">
        <f t="shared" si="19"/>
        <v/>
      </c>
      <c r="I217" t="str">
        <f t="shared" si="20"/>
        <v/>
      </c>
      <c r="J217" t="s">
        <v>313</v>
      </c>
      <c r="L217" t="str">
        <f t="shared" si="21"/>
        <v/>
      </c>
      <c r="M217" t="str">
        <f t="shared" si="22"/>
        <v/>
      </c>
      <c r="N217" t="s">
        <v>313</v>
      </c>
    </row>
    <row r="218" spans="8:14">
      <c r="H218" t="str">
        <f t="shared" si="19"/>
        <v/>
      </c>
      <c r="I218" t="str">
        <f t="shared" si="20"/>
        <v/>
      </c>
      <c r="J218" t="s">
        <v>314</v>
      </c>
      <c r="L218" t="str">
        <f t="shared" si="21"/>
        <v/>
      </c>
      <c r="M218" t="str">
        <f t="shared" si="22"/>
        <v/>
      </c>
      <c r="N218" t="s">
        <v>314</v>
      </c>
    </row>
    <row r="219" spans="8:14">
      <c r="H219" t="str">
        <f t="shared" si="19"/>
        <v/>
      </c>
      <c r="I219" t="str">
        <f t="shared" si="20"/>
        <v/>
      </c>
      <c r="J219" t="s">
        <v>315</v>
      </c>
      <c r="L219" t="str">
        <f t="shared" si="21"/>
        <v/>
      </c>
      <c r="M219" t="str">
        <f t="shared" si="22"/>
        <v/>
      </c>
      <c r="N219" t="s">
        <v>315</v>
      </c>
    </row>
    <row r="220" spans="8:14">
      <c r="H220" t="str">
        <f t="shared" si="19"/>
        <v/>
      </c>
      <c r="I220" t="str">
        <f t="shared" si="20"/>
        <v/>
      </c>
      <c r="J220" t="s">
        <v>316</v>
      </c>
      <c r="L220" t="str">
        <f t="shared" si="21"/>
        <v/>
      </c>
      <c r="M220" t="str">
        <f t="shared" si="22"/>
        <v/>
      </c>
      <c r="N220" t="s">
        <v>316</v>
      </c>
    </row>
    <row r="221" spans="8:14">
      <c r="H221" t="str">
        <f t="shared" si="19"/>
        <v/>
      </c>
      <c r="I221" t="str">
        <f t="shared" si="20"/>
        <v/>
      </c>
      <c r="J221" t="s">
        <v>317</v>
      </c>
      <c r="L221" t="str">
        <f t="shared" si="21"/>
        <v/>
      </c>
      <c r="M221" t="str">
        <f t="shared" si="22"/>
        <v/>
      </c>
      <c r="N221" t="s">
        <v>317</v>
      </c>
    </row>
    <row r="222" spans="8:14">
      <c r="H222" t="str">
        <f t="shared" si="19"/>
        <v/>
      </c>
      <c r="I222" t="str">
        <f t="shared" si="20"/>
        <v/>
      </c>
      <c r="J222" t="s">
        <v>318</v>
      </c>
      <c r="L222" t="str">
        <f t="shared" si="21"/>
        <v/>
      </c>
      <c r="M222" t="str">
        <f t="shared" si="22"/>
        <v/>
      </c>
      <c r="N222" t="s">
        <v>318</v>
      </c>
    </row>
    <row r="223" spans="8:14">
      <c r="H223" t="str">
        <f t="shared" si="19"/>
        <v/>
      </c>
      <c r="I223" t="str">
        <f t="shared" si="20"/>
        <v/>
      </c>
      <c r="J223" t="s">
        <v>319</v>
      </c>
      <c r="L223" t="str">
        <f t="shared" si="21"/>
        <v/>
      </c>
      <c r="M223" t="str">
        <f t="shared" si="22"/>
        <v/>
      </c>
      <c r="N223" t="s">
        <v>319</v>
      </c>
    </row>
    <row r="224" spans="8:14">
      <c r="H224" t="str">
        <f t="shared" si="19"/>
        <v/>
      </c>
      <c r="I224" t="str">
        <f t="shared" si="20"/>
        <v/>
      </c>
      <c r="J224" t="s">
        <v>320</v>
      </c>
      <c r="L224" t="str">
        <f t="shared" si="21"/>
        <v/>
      </c>
      <c r="M224" t="str">
        <f t="shared" si="22"/>
        <v/>
      </c>
      <c r="N224" t="s">
        <v>320</v>
      </c>
    </row>
    <row r="225" spans="8:14">
      <c r="H225" t="str">
        <f t="shared" si="19"/>
        <v/>
      </c>
      <c r="I225" t="str">
        <f t="shared" si="20"/>
        <v/>
      </c>
      <c r="J225" t="s">
        <v>321</v>
      </c>
      <c r="L225" t="str">
        <f t="shared" si="21"/>
        <v/>
      </c>
      <c r="M225" t="str">
        <f t="shared" si="22"/>
        <v/>
      </c>
      <c r="N225" t="s">
        <v>321</v>
      </c>
    </row>
    <row r="226" spans="8:14">
      <c r="H226" t="str">
        <f t="shared" si="19"/>
        <v/>
      </c>
      <c r="I226" t="str">
        <f t="shared" si="20"/>
        <v/>
      </c>
      <c r="J226" t="s">
        <v>322</v>
      </c>
      <c r="L226" t="str">
        <f t="shared" si="21"/>
        <v/>
      </c>
      <c r="M226" t="str">
        <f t="shared" si="22"/>
        <v/>
      </c>
      <c r="N226" t="s">
        <v>322</v>
      </c>
    </row>
    <row r="227" spans="8:14">
      <c r="H227" t="str">
        <f t="shared" si="19"/>
        <v/>
      </c>
      <c r="I227" t="str">
        <f t="shared" si="20"/>
        <v/>
      </c>
      <c r="J227" t="s">
        <v>323</v>
      </c>
      <c r="L227" t="str">
        <f t="shared" si="21"/>
        <v/>
      </c>
      <c r="M227" t="str">
        <f t="shared" si="22"/>
        <v/>
      </c>
      <c r="N227" t="s">
        <v>323</v>
      </c>
    </row>
    <row r="228" spans="8:14">
      <c r="H228" t="str">
        <f t="shared" si="19"/>
        <v/>
      </c>
      <c r="I228" t="str">
        <f t="shared" si="20"/>
        <v/>
      </c>
      <c r="J228" t="s">
        <v>324</v>
      </c>
      <c r="L228" t="str">
        <f t="shared" si="21"/>
        <v/>
      </c>
      <c r="M228" t="str">
        <f t="shared" si="22"/>
        <v/>
      </c>
      <c r="N228" t="s">
        <v>324</v>
      </c>
    </row>
    <row r="229" spans="8:14">
      <c r="H229" t="str">
        <f t="shared" si="19"/>
        <v/>
      </c>
      <c r="I229" t="str">
        <f t="shared" si="20"/>
        <v/>
      </c>
      <c r="J229" t="s">
        <v>325</v>
      </c>
      <c r="L229" t="str">
        <f t="shared" si="21"/>
        <v/>
      </c>
      <c r="M229" t="str">
        <f t="shared" si="22"/>
        <v/>
      </c>
      <c r="N229" t="s">
        <v>325</v>
      </c>
    </row>
    <row r="230" spans="8:14">
      <c r="H230" t="str">
        <f t="shared" si="19"/>
        <v/>
      </c>
      <c r="I230" t="str">
        <f t="shared" si="20"/>
        <v/>
      </c>
      <c r="J230" t="s">
        <v>326</v>
      </c>
      <c r="L230" t="str">
        <f t="shared" si="21"/>
        <v/>
      </c>
      <c r="M230" t="str">
        <f t="shared" si="22"/>
        <v/>
      </c>
      <c r="N230" t="s">
        <v>326</v>
      </c>
    </row>
    <row r="231" spans="8:14">
      <c r="H231" t="str">
        <f t="shared" si="19"/>
        <v/>
      </c>
      <c r="I231" t="str">
        <f t="shared" si="20"/>
        <v/>
      </c>
      <c r="J231" t="s">
        <v>327</v>
      </c>
      <c r="L231" t="str">
        <f t="shared" si="21"/>
        <v/>
      </c>
      <c r="M231" t="str">
        <f t="shared" si="22"/>
        <v/>
      </c>
      <c r="N231" t="s">
        <v>327</v>
      </c>
    </row>
    <row r="232" spans="8:14">
      <c r="H232" t="str">
        <f t="shared" si="19"/>
        <v/>
      </c>
      <c r="I232" t="str">
        <f t="shared" si="20"/>
        <v/>
      </c>
      <c r="J232" t="s">
        <v>328</v>
      </c>
      <c r="L232" t="str">
        <f t="shared" si="21"/>
        <v/>
      </c>
      <c r="M232" t="str">
        <f t="shared" si="22"/>
        <v/>
      </c>
      <c r="N232" t="s">
        <v>328</v>
      </c>
    </row>
    <row r="233" spans="8:14">
      <c r="H233" t="str">
        <f t="shared" si="19"/>
        <v/>
      </c>
      <c r="I233" t="str">
        <f t="shared" si="20"/>
        <v/>
      </c>
      <c r="J233" t="s">
        <v>329</v>
      </c>
      <c r="L233" t="str">
        <f t="shared" si="21"/>
        <v/>
      </c>
      <c r="M233" t="str">
        <f t="shared" si="22"/>
        <v/>
      </c>
      <c r="N233" t="s">
        <v>329</v>
      </c>
    </row>
    <row r="234" spans="8:14">
      <c r="H234" t="str">
        <f t="shared" si="19"/>
        <v/>
      </c>
      <c r="I234" t="str">
        <f t="shared" si="20"/>
        <v/>
      </c>
      <c r="J234" t="s">
        <v>330</v>
      </c>
      <c r="L234" t="str">
        <f t="shared" si="21"/>
        <v/>
      </c>
      <c r="M234" t="str">
        <f t="shared" si="22"/>
        <v/>
      </c>
      <c r="N234" t="s">
        <v>330</v>
      </c>
    </row>
    <row r="235" spans="8:14">
      <c r="H235" t="str">
        <f t="shared" si="19"/>
        <v/>
      </c>
      <c r="I235" t="str">
        <f t="shared" si="20"/>
        <v/>
      </c>
      <c r="J235" t="s">
        <v>331</v>
      </c>
      <c r="L235" t="str">
        <f t="shared" si="21"/>
        <v/>
      </c>
      <c r="M235" t="str">
        <f t="shared" si="22"/>
        <v/>
      </c>
      <c r="N235" t="s">
        <v>331</v>
      </c>
    </row>
    <row r="236" spans="8:14">
      <c r="H236" t="str">
        <f t="shared" si="19"/>
        <v/>
      </c>
      <c r="I236" t="str">
        <f t="shared" si="20"/>
        <v/>
      </c>
      <c r="J236" t="s">
        <v>332</v>
      </c>
      <c r="L236" t="str">
        <f t="shared" si="21"/>
        <v/>
      </c>
      <c r="M236" t="str">
        <f t="shared" si="22"/>
        <v/>
      </c>
      <c r="N236" t="s">
        <v>332</v>
      </c>
    </row>
    <row r="237" spans="8:14">
      <c r="H237" t="str">
        <f t="shared" si="19"/>
        <v/>
      </c>
      <c r="I237" t="str">
        <f t="shared" si="20"/>
        <v/>
      </c>
      <c r="J237" t="s">
        <v>333</v>
      </c>
      <c r="L237" t="str">
        <f t="shared" si="21"/>
        <v/>
      </c>
      <c r="M237" t="str">
        <f t="shared" si="22"/>
        <v/>
      </c>
      <c r="N237" t="s">
        <v>333</v>
      </c>
    </row>
    <row r="238" spans="8:14">
      <c r="H238" t="str">
        <f t="shared" si="19"/>
        <v/>
      </c>
      <c r="I238" t="str">
        <f t="shared" si="20"/>
        <v/>
      </c>
      <c r="J238" t="s">
        <v>334</v>
      </c>
      <c r="L238" t="str">
        <f t="shared" si="21"/>
        <v/>
      </c>
      <c r="M238" t="str">
        <f t="shared" si="22"/>
        <v/>
      </c>
      <c r="N238" t="s">
        <v>334</v>
      </c>
    </row>
    <row r="239" spans="8:14">
      <c r="H239" t="str">
        <f t="shared" si="19"/>
        <v/>
      </c>
      <c r="I239" t="str">
        <f t="shared" si="20"/>
        <v/>
      </c>
      <c r="J239" t="s">
        <v>335</v>
      </c>
      <c r="L239" t="str">
        <f t="shared" si="21"/>
        <v/>
      </c>
      <c r="M239" t="str">
        <f t="shared" si="22"/>
        <v/>
      </c>
      <c r="N239" t="s">
        <v>335</v>
      </c>
    </row>
    <row r="240" spans="8:14">
      <c r="H240" t="str">
        <f t="shared" si="19"/>
        <v/>
      </c>
      <c r="I240" t="str">
        <f t="shared" si="20"/>
        <v/>
      </c>
      <c r="J240" t="s">
        <v>336</v>
      </c>
      <c r="L240" t="str">
        <f t="shared" si="21"/>
        <v/>
      </c>
      <c r="M240" t="str">
        <f t="shared" si="22"/>
        <v/>
      </c>
      <c r="N240" t="s">
        <v>336</v>
      </c>
    </row>
    <row r="241" spans="8:14">
      <c r="H241" t="str">
        <f t="shared" si="19"/>
        <v/>
      </c>
      <c r="I241" t="str">
        <f t="shared" si="20"/>
        <v/>
      </c>
      <c r="J241" t="s">
        <v>337</v>
      </c>
      <c r="L241" t="str">
        <f t="shared" si="21"/>
        <v/>
      </c>
      <c r="M241" t="str">
        <f t="shared" si="22"/>
        <v/>
      </c>
      <c r="N241" t="s">
        <v>337</v>
      </c>
    </row>
    <row r="242" spans="8:14">
      <c r="H242" t="str">
        <f t="shared" si="19"/>
        <v/>
      </c>
      <c r="I242" t="str">
        <f t="shared" si="20"/>
        <v/>
      </c>
      <c r="J242" t="s">
        <v>338</v>
      </c>
      <c r="L242" t="str">
        <f t="shared" si="21"/>
        <v/>
      </c>
      <c r="M242" t="str">
        <f t="shared" si="22"/>
        <v/>
      </c>
      <c r="N242" t="s">
        <v>338</v>
      </c>
    </row>
    <row r="243" spans="8:14">
      <c r="H243" t="str">
        <f t="shared" si="19"/>
        <v/>
      </c>
      <c r="I243" t="str">
        <f t="shared" si="20"/>
        <v/>
      </c>
      <c r="J243" t="s">
        <v>339</v>
      </c>
      <c r="L243" t="str">
        <f t="shared" si="21"/>
        <v/>
      </c>
      <c r="M243" t="str">
        <f t="shared" si="22"/>
        <v/>
      </c>
      <c r="N243" t="s">
        <v>339</v>
      </c>
    </row>
    <row r="244" spans="8:14">
      <c r="H244" t="str">
        <f t="shared" si="19"/>
        <v/>
      </c>
      <c r="I244" t="str">
        <f t="shared" si="20"/>
        <v/>
      </c>
      <c r="J244" t="s">
        <v>340</v>
      </c>
      <c r="L244" t="str">
        <f t="shared" si="21"/>
        <v/>
      </c>
      <c r="M244" t="str">
        <f t="shared" si="22"/>
        <v/>
      </c>
      <c r="N244" t="s">
        <v>340</v>
      </c>
    </row>
    <row r="245" spans="8:14">
      <c r="H245" t="str">
        <f t="shared" si="19"/>
        <v/>
      </c>
      <c r="I245" t="str">
        <f t="shared" si="20"/>
        <v/>
      </c>
      <c r="J245" t="s">
        <v>341</v>
      </c>
      <c r="L245" t="str">
        <f t="shared" si="21"/>
        <v/>
      </c>
      <c r="M245" t="str">
        <f t="shared" si="22"/>
        <v/>
      </c>
      <c r="N245" t="s">
        <v>341</v>
      </c>
    </row>
    <row r="246" spans="8:14">
      <c r="H246" t="str">
        <f t="shared" si="19"/>
        <v/>
      </c>
      <c r="I246" t="str">
        <f t="shared" si="20"/>
        <v/>
      </c>
      <c r="J246" t="s">
        <v>342</v>
      </c>
      <c r="L246" t="str">
        <f t="shared" si="21"/>
        <v/>
      </c>
      <c r="M246" t="str">
        <f t="shared" si="22"/>
        <v/>
      </c>
      <c r="N246" t="s">
        <v>342</v>
      </c>
    </row>
    <row r="247" spans="8:14">
      <c r="H247" t="str">
        <f t="shared" si="19"/>
        <v/>
      </c>
      <c r="I247" t="str">
        <f t="shared" si="20"/>
        <v/>
      </c>
      <c r="J247" t="s">
        <v>343</v>
      </c>
      <c r="L247" t="str">
        <f t="shared" si="21"/>
        <v/>
      </c>
      <c r="M247" t="str">
        <f t="shared" si="22"/>
        <v/>
      </c>
      <c r="N247" t="s">
        <v>343</v>
      </c>
    </row>
    <row r="248" spans="8:14">
      <c r="H248" t="str">
        <f t="shared" si="19"/>
        <v/>
      </c>
      <c r="I248" t="str">
        <f t="shared" si="20"/>
        <v/>
      </c>
      <c r="J248" t="s">
        <v>344</v>
      </c>
      <c r="L248" t="str">
        <f t="shared" si="21"/>
        <v/>
      </c>
      <c r="M248" t="str">
        <f t="shared" si="22"/>
        <v/>
      </c>
      <c r="N248" t="s">
        <v>344</v>
      </c>
    </row>
    <row r="249" spans="8:14">
      <c r="H249" t="str">
        <f t="shared" si="19"/>
        <v/>
      </c>
      <c r="I249" t="str">
        <f t="shared" si="20"/>
        <v/>
      </c>
      <c r="J249" t="s">
        <v>345</v>
      </c>
      <c r="L249" t="str">
        <f t="shared" si="21"/>
        <v/>
      </c>
      <c r="M249" t="str">
        <f t="shared" si="22"/>
        <v/>
      </c>
      <c r="N249" t="s">
        <v>345</v>
      </c>
    </row>
    <row r="250" spans="8:14">
      <c r="H250" t="str">
        <f t="shared" si="19"/>
        <v/>
      </c>
      <c r="I250" t="str">
        <f t="shared" si="20"/>
        <v/>
      </c>
      <c r="J250" t="s">
        <v>346</v>
      </c>
      <c r="L250" t="str">
        <f t="shared" si="21"/>
        <v/>
      </c>
      <c r="M250" t="str">
        <f t="shared" si="22"/>
        <v/>
      </c>
      <c r="N250" t="s">
        <v>346</v>
      </c>
    </row>
    <row r="251" spans="8:14">
      <c r="H251" t="str">
        <f t="shared" si="19"/>
        <v/>
      </c>
      <c r="I251" t="str">
        <f t="shared" si="20"/>
        <v/>
      </c>
      <c r="J251" t="s">
        <v>347</v>
      </c>
      <c r="L251" t="str">
        <f t="shared" si="21"/>
        <v/>
      </c>
      <c r="M251" t="str">
        <f t="shared" si="22"/>
        <v/>
      </c>
      <c r="N251" t="s">
        <v>347</v>
      </c>
    </row>
    <row r="252" spans="8:14">
      <c r="H252" t="str">
        <f t="shared" si="19"/>
        <v/>
      </c>
      <c r="I252" t="str">
        <f t="shared" si="20"/>
        <v/>
      </c>
      <c r="J252" t="s">
        <v>348</v>
      </c>
      <c r="L252" t="str">
        <f t="shared" si="21"/>
        <v/>
      </c>
      <c r="M252" t="str">
        <f t="shared" si="22"/>
        <v/>
      </c>
      <c r="N252" t="s">
        <v>348</v>
      </c>
    </row>
    <row r="253" spans="8:14">
      <c r="H253" t="str">
        <f t="shared" si="19"/>
        <v/>
      </c>
      <c r="I253" t="str">
        <f t="shared" si="20"/>
        <v/>
      </c>
      <c r="J253" t="s">
        <v>349</v>
      </c>
      <c r="L253" t="str">
        <f t="shared" si="21"/>
        <v/>
      </c>
      <c r="M253" t="str">
        <f t="shared" si="22"/>
        <v/>
      </c>
      <c r="N253" t="s">
        <v>349</v>
      </c>
    </row>
    <row r="254" spans="8:14">
      <c r="H254" t="str">
        <f t="shared" si="19"/>
        <v/>
      </c>
      <c r="I254" t="str">
        <f t="shared" si="20"/>
        <v/>
      </c>
      <c r="J254" t="s">
        <v>350</v>
      </c>
      <c r="L254" t="str">
        <f t="shared" si="21"/>
        <v/>
      </c>
      <c r="M254" t="str">
        <f t="shared" si="22"/>
        <v/>
      </c>
      <c r="N254" t="s">
        <v>350</v>
      </c>
    </row>
    <row r="255" spans="8:14">
      <c r="H255" t="str">
        <f t="shared" si="19"/>
        <v/>
      </c>
      <c r="I255" t="str">
        <f t="shared" si="20"/>
        <v/>
      </c>
      <c r="J255" t="s">
        <v>351</v>
      </c>
      <c r="L255" t="str">
        <f t="shared" si="21"/>
        <v/>
      </c>
      <c r="M255" t="str">
        <f t="shared" si="22"/>
        <v/>
      </c>
      <c r="N255" t="s">
        <v>351</v>
      </c>
    </row>
    <row r="256" spans="8:14">
      <c r="H256" t="str">
        <f t="shared" si="19"/>
        <v/>
      </c>
      <c r="I256" t="str">
        <f t="shared" si="20"/>
        <v/>
      </c>
      <c r="J256" t="s">
        <v>352</v>
      </c>
      <c r="L256" t="str">
        <f t="shared" si="21"/>
        <v/>
      </c>
      <c r="M256" t="str">
        <f t="shared" si="22"/>
        <v/>
      </c>
      <c r="N256" t="s">
        <v>352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8</vt:i4>
      </vt:variant>
      <vt:variant>
        <vt:lpstr>名前付き一覧</vt:lpstr>
      </vt:variant>
      <vt:variant>
        <vt:i4>12</vt:i4>
      </vt:variant>
    </vt:vector>
  </HeadingPairs>
  <TitlesOfParts>
    <vt:vector size="20" baseType="lpstr">
      <vt:lpstr>入力</vt:lpstr>
      <vt:lpstr>フォルダ</vt:lpstr>
      <vt:lpstr>レイヤ</vt:lpstr>
      <vt:lpstr>一括JSON</vt:lpstr>
      <vt:lpstr>座標系</vt:lpstr>
      <vt:lpstr>更新履歴</vt:lpstr>
      <vt:lpstr>技術解説</vt:lpstr>
      <vt:lpstr>文字コード変換用</vt:lpstr>
      <vt:lpstr>EPSG</vt:lpstr>
      <vt:lpstr>出力ファイル名</vt:lpstr>
      <vt:lpstr>出力ファイル名Unicode</vt:lpstr>
      <vt:lpstr>変換元ファイル名</vt:lpstr>
      <vt:lpstr>変換元ファイル名Unicode</vt:lpstr>
      <vt:lpstr>変換元フォルダ</vt:lpstr>
      <vt:lpstr>変換元フォルダUnicode</vt:lpstr>
      <vt:lpstr>変換元形式</vt:lpstr>
      <vt:lpstr>変換先フォルダ</vt:lpstr>
      <vt:lpstr>変換先フォルダUnicode</vt:lpstr>
      <vt:lpstr>変換先形式</vt:lpstr>
      <vt:lpstr>変換先親フォルダ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妻藤 荘史(SAITO Takashi)</dc:creator>
  <cp:lastModifiedBy>妻藤 荘史(SAITO Takashi)</cp:lastModifiedBy>
  <dcterms:created xsi:type="dcterms:W3CDTF">2024-01-26T01:28:33Z</dcterms:created>
  <dcterms:modified xsi:type="dcterms:W3CDTF">2025-06-15T10:33:36Z</dcterms:modified>
</cp:coreProperties>
</file>